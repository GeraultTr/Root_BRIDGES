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2826\home\torisuten\package\Wheat-BRIDGES\Root_BRIDGES\simulations\inputs\"/>
    </mc:Choice>
  </mc:AlternateContent>
  <xr:revisionPtr revIDLastSave="0" documentId="13_ncr:1_{879AB2CD-56FB-4287-AD71-7597D262BD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0" i="2" l="1"/>
  <c r="N120" i="2"/>
  <c r="M120" i="2"/>
  <c r="N117" i="2"/>
  <c r="O117" i="2"/>
  <c r="M117" i="2"/>
  <c r="N116" i="2"/>
  <c r="O116" i="2"/>
  <c r="M116" i="2"/>
  <c r="O210" i="2"/>
  <c r="N210" i="2"/>
  <c r="O232" i="2"/>
  <c r="O231" i="2"/>
  <c r="O229" i="2"/>
  <c r="O226" i="2"/>
  <c r="O225" i="2"/>
  <c r="O224" i="2"/>
  <c r="O223" i="2"/>
  <c r="O222" i="2"/>
  <c r="O221" i="2"/>
  <c r="O220" i="2"/>
  <c r="O219" i="2"/>
  <c r="O218" i="2"/>
  <c r="O216" i="2"/>
  <c r="O212" i="2"/>
  <c r="O138" i="2"/>
  <c r="O132" i="2"/>
  <c r="O130" i="2"/>
  <c r="O129" i="2"/>
  <c r="O119" i="2"/>
  <c r="O110" i="2"/>
  <c r="O109" i="2"/>
  <c r="O108" i="2"/>
  <c r="O107" i="2"/>
  <c r="O75" i="2"/>
  <c r="N232" i="2"/>
  <c r="N231" i="2"/>
  <c r="N229" i="2"/>
  <c r="N226" i="2"/>
  <c r="N225" i="2"/>
  <c r="N224" i="2"/>
  <c r="N223" i="2"/>
  <c r="N222" i="2"/>
  <c r="N221" i="2"/>
  <c r="N220" i="2"/>
  <c r="N219" i="2"/>
  <c r="N218" i="2"/>
  <c r="N216" i="2"/>
  <c r="N212" i="2"/>
  <c r="N138" i="2"/>
  <c r="N132" i="2"/>
  <c r="N130" i="2"/>
  <c r="N129" i="2"/>
  <c r="N119" i="2"/>
  <c r="N110" i="2"/>
  <c r="N109" i="2"/>
  <c r="N108" i="2"/>
  <c r="N107" i="2"/>
  <c r="N75" i="2"/>
  <c r="Q232" i="2"/>
  <c r="Q231" i="2"/>
  <c r="Q229" i="2"/>
  <c r="Q226" i="2"/>
  <c r="Q225" i="2"/>
  <c r="Q224" i="2"/>
  <c r="Q223" i="2"/>
  <c r="Q222" i="2"/>
  <c r="Q221" i="2"/>
  <c r="Q220" i="2"/>
  <c r="Q219" i="2"/>
  <c r="Q218" i="2"/>
  <c r="Q216" i="2"/>
  <c r="Q212" i="2"/>
  <c r="Q210" i="2"/>
  <c r="Q138" i="2"/>
  <c r="Q132" i="2"/>
  <c r="Q130" i="2"/>
  <c r="Q129" i="2"/>
  <c r="Q120" i="2"/>
  <c r="Q119" i="2"/>
  <c r="Q117" i="2"/>
  <c r="Q116" i="2"/>
  <c r="Q110" i="2"/>
  <c r="Q109" i="2"/>
  <c r="Q108" i="2"/>
  <c r="Q107" i="2"/>
  <c r="Q75" i="2"/>
  <c r="R232" i="2"/>
  <c r="R231" i="2"/>
  <c r="R229" i="2"/>
  <c r="R226" i="2"/>
  <c r="R225" i="2"/>
  <c r="R224" i="2"/>
  <c r="R223" i="2"/>
  <c r="R222" i="2"/>
  <c r="R221" i="2"/>
  <c r="R220" i="2"/>
  <c r="R219" i="2"/>
  <c r="R218" i="2"/>
  <c r="R216" i="2"/>
  <c r="R212" i="2"/>
  <c r="R210" i="2"/>
  <c r="R138" i="2"/>
  <c r="R132" i="2"/>
  <c r="R130" i="2"/>
  <c r="R129" i="2"/>
  <c r="R120" i="2"/>
  <c r="R119" i="2"/>
  <c r="R117" i="2"/>
  <c r="R116" i="2"/>
  <c r="R110" i="2"/>
  <c r="R109" i="2"/>
  <c r="R108" i="2"/>
  <c r="R107" i="2"/>
  <c r="R75" i="2"/>
  <c r="S107" i="2"/>
  <c r="S108" i="2"/>
  <c r="S109" i="2"/>
  <c r="S110" i="2"/>
  <c r="S116" i="2"/>
  <c r="S117" i="2"/>
  <c r="S119" i="2"/>
  <c r="S120" i="2"/>
  <c r="S130" i="2"/>
  <c r="S132" i="2"/>
  <c r="S210" i="2"/>
  <c r="S212" i="2"/>
  <c r="S216" i="2"/>
  <c r="S218" i="2"/>
  <c r="S219" i="2"/>
  <c r="S220" i="2"/>
  <c r="S221" i="2"/>
  <c r="S222" i="2"/>
  <c r="S223" i="2"/>
  <c r="S226" i="2"/>
  <c r="S229" i="2"/>
  <c r="S231" i="2"/>
  <c r="S232" i="2"/>
  <c r="S234" i="2"/>
  <c r="M219" i="2"/>
  <c r="M231" i="2"/>
  <c r="M232" i="2"/>
  <c r="K232" i="2"/>
  <c r="M220" i="2"/>
  <c r="M225" i="2"/>
  <c r="M132" i="2"/>
  <c r="M129" i="2"/>
  <c r="T231" i="2" l="1"/>
  <c r="M223" i="2"/>
  <c r="M222" i="2"/>
  <c r="M224" i="2"/>
  <c r="G224" i="2"/>
  <c r="M138" i="2"/>
  <c r="U129" i="2"/>
  <c r="T138" i="2"/>
  <c r="U132" i="2"/>
  <c r="T132" i="2"/>
  <c r="T129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11" i="2"/>
  <c r="U112" i="2"/>
  <c r="U113" i="2"/>
  <c r="U114" i="2"/>
  <c r="U115" i="2"/>
  <c r="U118" i="2"/>
  <c r="U121" i="2"/>
  <c r="U122" i="2"/>
  <c r="U123" i="2"/>
  <c r="U124" i="2"/>
  <c r="U125" i="2"/>
  <c r="U126" i="2"/>
  <c r="U127" i="2"/>
  <c r="U128" i="2"/>
  <c r="U131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1" i="2"/>
  <c r="U213" i="2"/>
  <c r="U214" i="2"/>
  <c r="U215" i="2"/>
  <c r="U217" i="2"/>
  <c r="U227" i="2"/>
  <c r="U228" i="2"/>
  <c r="U230" i="2"/>
  <c r="U233" i="2"/>
  <c r="U2" i="2"/>
  <c r="M75" i="2"/>
  <c r="U75" i="2" s="1"/>
  <c r="U223" i="2"/>
  <c r="K234" i="2" l="1"/>
  <c r="K231" i="2"/>
  <c r="K229" i="2"/>
  <c r="K226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U220" i="2"/>
  <c r="M221" i="2" l="1"/>
  <c r="U221" i="2" s="1"/>
  <c r="U219" i="2"/>
  <c r="U231" i="2" l="1"/>
  <c r="U222" i="2"/>
  <c r="M210" i="2"/>
  <c r="U210" i="2" s="1"/>
  <c r="G107" i="2" l="1"/>
  <c r="H107" i="2"/>
  <c r="I107" i="2"/>
  <c r="J107" i="2"/>
  <c r="M107" i="2"/>
  <c r="U107" i="2" s="1"/>
  <c r="G108" i="2"/>
  <c r="H108" i="2"/>
  <c r="I108" i="2"/>
  <c r="J108" i="2"/>
  <c r="M108" i="2"/>
  <c r="U108" i="2" s="1"/>
  <c r="G109" i="2"/>
  <c r="H109" i="2"/>
  <c r="I109" i="2"/>
  <c r="J109" i="2"/>
  <c r="M109" i="2"/>
  <c r="U109" i="2" s="1"/>
  <c r="G110" i="2"/>
  <c r="H110" i="2"/>
  <c r="I110" i="2"/>
  <c r="J110" i="2"/>
  <c r="M110" i="2"/>
  <c r="U110" i="2" s="1"/>
  <c r="G116" i="2"/>
  <c r="H116" i="2"/>
  <c r="I116" i="2"/>
  <c r="J116" i="2"/>
  <c r="U116" i="2"/>
  <c r="G117" i="2"/>
  <c r="H117" i="2"/>
  <c r="I117" i="2"/>
  <c r="J117" i="2"/>
  <c r="U117" i="2"/>
  <c r="G119" i="2"/>
  <c r="H119" i="2"/>
  <c r="I119" i="2"/>
  <c r="J119" i="2"/>
  <c r="M119" i="2"/>
  <c r="U119" i="2" s="1"/>
  <c r="G120" i="2"/>
  <c r="H120" i="2"/>
  <c r="I120" i="2"/>
  <c r="J120" i="2"/>
  <c r="U120" i="2"/>
  <c r="H124" i="2"/>
  <c r="H129" i="2"/>
  <c r="I129" i="2"/>
  <c r="J129" i="2"/>
  <c r="H130" i="2"/>
  <c r="I130" i="2"/>
  <c r="J130" i="2"/>
  <c r="M130" i="2"/>
  <c r="U130" i="2" s="1"/>
  <c r="H210" i="2"/>
  <c r="I210" i="2"/>
  <c r="J210" i="2"/>
  <c r="H212" i="2"/>
  <c r="I212" i="2"/>
  <c r="M212" i="2"/>
  <c r="U212" i="2" s="1"/>
  <c r="G216" i="2"/>
  <c r="H216" i="2"/>
  <c r="I216" i="2"/>
  <c r="J216" i="2"/>
  <c r="M216" i="2"/>
  <c r="U216" i="2" s="1"/>
  <c r="I218" i="2"/>
  <c r="M218" i="2"/>
  <c r="U218" i="2" s="1"/>
  <c r="H219" i="2"/>
  <c r="I219" i="2"/>
  <c r="J219" i="2"/>
  <c r="H222" i="2"/>
  <c r="I222" i="2"/>
  <c r="J222" i="2"/>
  <c r="G223" i="2"/>
  <c r="G226" i="2"/>
  <c r="H226" i="2"/>
  <c r="I226" i="2"/>
  <c r="J226" i="2"/>
  <c r="M226" i="2"/>
  <c r="U226" i="2" s="1"/>
  <c r="G229" i="2"/>
  <c r="H229" i="2"/>
  <c r="I229" i="2"/>
  <c r="J229" i="2"/>
  <c r="M229" i="2"/>
  <c r="U229" i="2" s="1"/>
  <c r="G233" i="2"/>
  <c r="H233" i="2"/>
  <c r="J233" i="2"/>
  <c r="G234" i="2"/>
  <c r="H234" i="2"/>
  <c r="I234" i="2"/>
  <c r="J234" i="2"/>
  <c r="U234" i="2"/>
  <c r="V129" i="2" l="1"/>
  <c r="W129" i="2"/>
  <c r="V130" i="2"/>
  <c r="W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<sst xmlns="http://schemas.openxmlformats.org/spreadsheetml/2006/main" count="2235" uniqueCount="589">
  <si>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</si>
  <si>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</si>
  <si>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</si>
  <si>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</si>
  <si>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</si>
  <si>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</si>
  <si>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</si>
  <si>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</si>
  <si>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</si>
  <si>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</si>
  <si>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</si>
  <si>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</si>
  <si>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</si>
  <si>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</si>
  <si>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</si>
  <si>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</si>
  <si>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</si>
  <si>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</si>
  <si>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</si>
  <si>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</si>
  <si>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</si>
  <si>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</si>
  <si>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</si>
  <si>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</si>
  <si>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</si>
  <si>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</si>
  <si>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</si>
  <si>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</si>
  <si>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</si>
  <si>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</si>
  <si>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</si>
  <si>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</si>
  <si>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</si>
  <si>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</si>
  <si>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</si>
  <si>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</si>
  <si>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</si>
  <si>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</si>
  <si>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</si>
  <si>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</si>
  <si>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</si>
  <si>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</si>
  <si>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</si>
  <si>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</si>
  <si>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</si>
  <si>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</si>
  <si>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</si>
  <si>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</si>
  <si>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</si>
  <si>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</si>
  <si>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</si>
  <si>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</si>
  <si>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</si>
  <si>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</si>
  <si>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</si>
  <si>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</si>
  <si>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</si>
  <si>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</si>
  <si>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</si>
  <si>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</si>
  <si>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</si>
  <si>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</si>
  <si>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</si>
  <si>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</si>
  <si>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</si>
  <si>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</si>
  <si>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</si>
  <si>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</si>
  <si>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</si>
  <si>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</si>
  <si>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</si>
  <si>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</si>
  <si>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</si>
  <si>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</si>
  <si>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</si>
  <si>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</si>
  <si>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</si>
  <si>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</si>
  <si>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</si>
  <si>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</si>
  <si>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</si>
  <si>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</si>
  <si>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</si>
  <si>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</si>
  <si>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</si>
  <si>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</si>
  <si>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</si>
  <si>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</si>
  <si>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</si>
  <si>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</si>
  <si>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</si>
  <si>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</si>
  <si>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</si>
  <si>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</si>
  <si>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</si>
  <si>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</si>
  <si>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</si>
  <si>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</si>
  <si>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</si>
  <si>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</si>
  <si>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</si>
  <si>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</si>
  <si>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</si>
  <si>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</si>
  <si>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</si>
  <si>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</si>
  <si>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</si>
  <si>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</si>
  <si>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</si>
  <si>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</si>
  <si>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</si>
  <si>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</si>
  <si>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</si>
  <si>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</si>
  <si>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</si>
  <si>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</si>
  <si>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</si>
  <si>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</si>
  <si>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</si>
  <si>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</si>
  <si>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</si>
  <si>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</si>
  <si>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</si>
  <si>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</si>
  <si>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</si>
  <si>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</si>
  <si>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</si>
  <si>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</si>
  <si>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</si>
  <si>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</si>
  <si>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</si>
  <si>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</si>
  <si>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</si>
  <si>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</si>
  <si>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</si>
  <si>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</si>
  <si>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</si>
  <si>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</si>
  <si>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</si>
  <si>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</si>
  <si>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</si>
  <si>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</si>
  <si>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</si>
  <si>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</si>
  <si>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</si>
  <si>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</si>
  <si>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</si>
  <si>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</si>
  <si>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</si>
  <si>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</si>
  <si>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</si>
  <si>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</si>
  <si>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</si>
  <si>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</si>
  <si>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</si>
  <si>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</si>
  <si>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</si>
  <si>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</si>
  <si>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</si>
  <si>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</si>
  <si>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</si>
  <si>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</si>
  <si>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</si>
  <si>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</si>
  <si>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</si>
  <si>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</si>
  <si>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</si>
  <si>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</si>
  <si>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</si>
  <si>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</si>
  <si>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</si>
  <si>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</si>
  <si>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</si>
  <si>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</si>
  <si>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</si>
  <si>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</si>
  <si>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</si>
  <si>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</si>
  <si>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</si>
  <si>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</si>
  <si>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</si>
  <si>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</si>
  <si>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</si>
  <si>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</si>
  <si>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</si>
  <si>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</si>
  <si>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</si>
  <si>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</si>
  <si>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</si>
  <si>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</si>
  <si>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</si>
  <si>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</si>
  <si>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</si>
  <si>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</si>
  <si>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</si>
  <si>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</si>
  <si>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</si>
  <si>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</si>
  <si>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</si>
  <si>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</si>
  <si>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</si>
  <si>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</si>
  <si>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</si>
  <si>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</si>
  <si>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</si>
  <si>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</si>
  <si>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</si>
  <si>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</si>
  <si>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</si>
  <si>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</si>
  <si>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</si>
  <si>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</si>
  <si>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</si>
  <si>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</si>
  <si>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</si>
  <si>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</si>
  <si>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</si>
  <si>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</si>
  <si>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</si>
  <si>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</si>
  <si>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</si>
  <si>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</si>
  <si>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</si>
  <si>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</si>
  <si>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</si>
  <si>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</si>
  <si>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</si>
  <si>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</si>
  <si>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</si>
  <si>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</si>
  <si>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</si>
  <si>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</si>
  <si>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</si>
  <si>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</si>
  <si>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</si>
  <si>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</si>
  <si>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</si>
  <si>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</si>
  <si>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</si>
  <si>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</si>
  <si>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</si>
  <si>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</si>
  <si>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</si>
  <si>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</si>
  <si>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</si>
  <si>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</si>
  <si>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</si>
  <si>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</si>
  <si>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</si>
  <si>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</si>
  <si>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</si>
  <si>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</si>
  <si>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</si>
  <si>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</si>
  <si>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</si>
  <si>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</si>
  <si>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</si>
  <si>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</si>
  <si>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</si>
  <si>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</si>
  <si>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</si>
  <si>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</si>
  <si>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</si>
  <si>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</si>
  <si>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</si>
  <si>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</si>
  <si>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</si>
  <si>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</si>
  <si>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</si>
  <si>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</si>
  <si>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</si>
  <si>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</si>
  <si>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</si>
  <si>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</si>
  <si>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</si>
  <si>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</si>
  <si>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</si>
  <si>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</si>
  <si>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</si>
  <si>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</si>
  <si>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</si>
  <si>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</si>
  <si>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</si>
  <si>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</si>
  <si>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</si>
  <si>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</si>
  <si>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</si>
  <si>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</si>
  <si>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</si>
  <si>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</si>
  <si>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</si>
  <si>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</si>
  <si>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</si>
  <si>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</si>
  <si>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</si>
  <si>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</si>
  <si>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</si>
  <si>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</si>
  <si>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</si>
  <si>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</si>
  <si>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</si>
  <si>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</si>
  <si>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</si>
  <si>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</si>
  <si>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</si>
  <si>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</si>
  <si>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</si>
  <si>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</si>
  <si>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</si>
  <si>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</si>
  <si>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</si>
  <si>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</si>
  <si>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</si>
  <si>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</si>
  <si>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</si>
  <si>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</si>
  <si>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</si>
  <si>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</si>
  <si>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</si>
  <si>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</si>
  <si>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</si>
  <si>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</si>
  <si>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</si>
  <si>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</si>
  <si>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</si>
  <si>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</si>
  <si>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</si>
  <si>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</si>
  <si>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</si>
  <si>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</si>
  <si>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</si>
  <si>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</si>
  <si>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</si>
  <si>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</si>
  <si>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</si>
  <si>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</si>
  <si>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</si>
  <si>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</si>
  <si>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</si>
  <si>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</si>
  <si>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</si>
  <si>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</si>
  <si>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</si>
  <si>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</si>
  <si>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</si>
  <si>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</si>
  <si>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</si>
  <si>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</si>
  <si>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</si>
  <si>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</si>
  <si>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</si>
  <si>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</si>
  <si>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</si>
  <si>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</si>
  <si>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</si>
  <si>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</si>
  <si>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</si>
  <si>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</si>
  <si>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</si>
  <si>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</si>
  <si>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</si>
  <si>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</si>
  <si>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</si>
  <si>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</si>
  <si>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</si>
  <si>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</si>
  <si>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</si>
  <si>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</si>
  <si>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</si>
  <si>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</si>
  <si>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</si>
  <si>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</si>
  <si>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</si>
  <si>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</si>
  <si>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</si>
  <si>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</si>
  <si>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</si>
  <si>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</si>
  <si>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</si>
  <si>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</si>
  <si>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</si>
  <si>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</si>
  <si>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</si>
  <si>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</si>
  <si>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</si>
  <si>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</si>
  <si>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</si>
  <si>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</si>
  <si>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</si>
  <si>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</si>
  <si>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</si>
  <si>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</si>
  <si>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</si>
  <si>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</si>
  <si>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</si>
  <si>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</si>
  <si>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</si>
  <si>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</si>
  <si>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</si>
  <si>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</si>
  <si>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</si>
  <si>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</si>
  <si>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</si>
  <si>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</si>
  <si>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</si>
  <si>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</si>
  <si>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</si>
  <si>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</si>
  <si>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</si>
  <si>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</si>
  <si>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</si>
  <si>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</si>
  <si>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</si>
  <si>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</si>
  <si>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</si>
  <si>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</si>
  <si>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</si>
  <si>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</si>
  <si>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</si>
  <si>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</si>
  <si>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</si>
  <si>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</si>
  <si>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</si>
  <si>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</si>
  <si>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</si>
  <si>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</si>
  <si>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</si>
  <si>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</si>
  <si>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</si>
  <si>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</si>
  <si>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</si>
  <si>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</si>
  <si>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</si>
  <si>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</si>
  <si>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</si>
  <si>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</si>
  <si>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</si>
  <si>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</si>
  <si>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</si>
  <si>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</si>
  <si>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</si>
  <si>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</si>
  <si>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</si>
  <si>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</si>
  <si>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</si>
  <si>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</si>
  <si>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</si>
  <si>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</si>
  <si>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</si>
  <si>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</si>
  <si>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</si>
  <si>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</si>
  <si>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</si>
  <si>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</si>
  <si>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</si>
  <si>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</si>
  <si>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</si>
  <si>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</si>
  <si>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</si>
  <si>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</si>
  <si>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</si>
  <si>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</si>
  <si>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</si>
  <si>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</si>
  <si>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</si>
  <si>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</si>
  <si>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</si>
  <si>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</si>
  <si>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</si>
  <si>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</si>
  <si>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</si>
  <si>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</si>
  <si>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</si>
  <si>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</si>
  <si>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</si>
  <si>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</si>
  <si>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</si>
  <si>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</si>
  <si>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</si>
  <si>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</si>
  <si>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</si>
  <si>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</si>
  <si>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</si>
  <si>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</si>
  <si>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</si>
  <si>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</si>
  <si>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</si>
  <si>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</si>
  <si>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</si>
  <si>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</si>
  <si>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</si>
  <si>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</si>
  <si>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</si>
  <si>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</si>
  <si>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</si>
  <si>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</si>
  <si>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</si>
  <si>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</si>
  <si>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</si>
  <si>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</si>
  <si>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</si>
  <si>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</si>
  <si>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</si>
  <si>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</si>
  <si>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</si>
  <si>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</si>
  <si>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</si>
  <si>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</si>
  <si>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</si>
  <si>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</si>
  <si>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</si>
  <si>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</si>
  <si>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</si>
  <si>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</si>
  <si>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</si>
  <si>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</si>
  <si>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</si>
  <si>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</si>
  <si>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</si>
  <si>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</si>
  <si>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</si>
  <si>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</si>
  <si>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</si>
  <si>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</si>
  <si>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</si>
  <si>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</si>
  <si>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</si>
  <si>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</si>
  <si>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</si>
  <si>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</si>
  <si>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</si>
  <si>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</si>
  <si>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</si>
  <si>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</si>
  <si>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</si>
  <si>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</si>
  <si>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</si>
  <si>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</si>
  <si>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</si>
  <si>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</si>
  <si>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</si>
  <si>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</si>
  <si>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</si>
  <si>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</si>
  <si>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</si>
  <si>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</si>
  <si>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</si>
  <si>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</si>
  <si>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</si>
  <si>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</si>
  <si>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</si>
  <si>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</si>
  <si>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</si>
  <si>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</si>
  <si>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</si>
  <si>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</si>
  <si>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</si>
  <si>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</si>
  <si>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</si>
  <si>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</si>
  <si>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</si>
  <si>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</si>
  <si>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</si>
  <si>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</si>
  <si>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</si>
  <si>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</si>
  <si>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</si>
  <si>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</si>
  <si>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</si>
  <si>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</si>
  <si>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</si>
  <si>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</si>
  <si>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</si>
  <si>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</si>
  <si>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</si>
  <si>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</si>
  <si>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</si>
  <si>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</si>
  <si>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</si>
  <si>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</si>
  <si>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</si>
  <si>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</si>
  <si>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</si>
  <si>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</si>
  <si>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</si>
  <si>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</si>
  <si>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</si>
  <si>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RC_ref_low</t>
  </si>
  <si>
    <t>RC_ref_high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</si>
</sst>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34"/>
  <sheetViews>
    <sheetView tabSelected="1" zoomScale="89" workbookViewId="0">
      <pane xSplit="1" ySplit="1" topLeftCell="I94" activePane="bottomRight" state="frozen"/>
      <selection pane="topRight" activeCell="B1" sqref="B1"/>
      <selection pane="bottomLeft" activeCell="A2" sqref="A2"/>
      <selection pane="bottomRight" activeCell="M119" sqref="M119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15" width="39.85546875" style="1" customWidth="1"/>
    <col min="16" max="16" width="14.85546875" style="1" customWidth="1"/>
    <col min="17" max="23" width="39.85546875" style="1" customWidth="1"/>
  </cols>
  <sheetData>
    <row r="1" spans="1:23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/>
      <c r="M1" s="97" t="s">
        <v>568</v>
      </c>
      <c r="N1" s="97" t="s">
        <v>587</v>
      </c>
      <c r="O1" s="97" t="s">
        <v>588</v>
      </c>
      <c r="P1" s="97"/>
      <c r="Q1" s="97" t="s">
        <v>586</v>
      </c>
      <c r="R1" s="97" t="s">
        <v>585</v>
      </c>
      <c r="S1" s="97" t="s">
        <v>576</v>
      </c>
      <c r="T1" s="1" t="s">
        <v>570</v>
      </c>
      <c r="U1" s="1" t="s">
        <v>578</v>
      </c>
      <c r="V1" s="97" t="s">
        <v>522</v>
      </c>
      <c r="W1" s="97" t="s">
        <v>523</v>
      </c>
    </row>
    <row r="2" spans="1:23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/>
      <c r="M2" s="36" t="s">
        <v>476</v>
      </c>
      <c r="N2" s="36" t="s">
        <v>476</v>
      </c>
      <c r="O2" s="36" t="s">
        <v>476</v>
      </c>
      <c r="P2" s="36"/>
      <c r="Q2" s="36" t="s">
        <v>476</v>
      </c>
      <c r="R2" s="36" t="s">
        <v>476</v>
      </c>
      <c r="S2" s="36" t="s">
        <v>476</v>
      </c>
      <c r="U2" s="1" t="b">
        <f>M2=S2</f>
        <v>1</v>
      </c>
      <c r="V2" s="36" t="s">
        <v>528</v>
      </c>
      <c r="W2" s="36" t="s">
        <v>476</v>
      </c>
    </row>
    <row r="3" spans="1:23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/>
      <c r="M3" s="36" t="s">
        <v>577</v>
      </c>
      <c r="N3" s="36" t="s">
        <v>577</v>
      </c>
      <c r="O3" s="36" t="s">
        <v>577</v>
      </c>
      <c r="P3" s="36"/>
      <c r="Q3" s="36" t="s">
        <v>577</v>
      </c>
      <c r="R3" s="36" t="s">
        <v>577</v>
      </c>
      <c r="S3" s="36" t="s">
        <v>577</v>
      </c>
      <c r="U3" s="1" t="b">
        <f t="shared" ref="U3:U66" si="0">M3=S3</f>
        <v>1</v>
      </c>
      <c r="V3" s="36" t="s">
        <v>489</v>
      </c>
      <c r="W3" s="36" t="s">
        <v>489</v>
      </c>
    </row>
    <row r="4" spans="1:23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/>
      <c r="M4" s="36" t="s">
        <v>482</v>
      </c>
      <c r="N4" s="36" t="s">
        <v>482</v>
      </c>
      <c r="O4" s="36" t="s">
        <v>482</v>
      </c>
      <c r="P4" s="36"/>
      <c r="Q4" s="36" t="s">
        <v>482</v>
      </c>
      <c r="R4" s="36" t="s">
        <v>482</v>
      </c>
      <c r="S4" s="36" t="s">
        <v>482</v>
      </c>
      <c r="U4" s="1" t="b">
        <f t="shared" si="0"/>
        <v>1</v>
      </c>
      <c r="V4" s="36" t="s">
        <v>482</v>
      </c>
      <c r="W4" s="36" t="s">
        <v>482</v>
      </c>
    </row>
    <row r="5" spans="1:23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/>
      <c r="M5" s="36" t="s">
        <v>482</v>
      </c>
      <c r="N5" s="36" t="s">
        <v>482</v>
      </c>
      <c r="O5" s="36" t="s">
        <v>482</v>
      </c>
      <c r="P5" s="36"/>
      <c r="Q5" s="36" t="s">
        <v>482</v>
      </c>
      <c r="R5" s="36" t="s">
        <v>482</v>
      </c>
      <c r="S5" s="36" t="s">
        <v>482</v>
      </c>
      <c r="U5" s="1" t="b">
        <f t="shared" si="0"/>
        <v>1</v>
      </c>
      <c r="V5" s="36" t="s">
        <v>494</v>
      </c>
      <c r="W5" s="36" t="s">
        <v>494</v>
      </c>
    </row>
    <row r="6" spans="1:23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/>
      <c r="M6" s="36" t="s">
        <v>577</v>
      </c>
      <c r="N6" s="36" t="s">
        <v>577</v>
      </c>
      <c r="O6" s="36" t="s">
        <v>577</v>
      </c>
      <c r="P6" s="36"/>
      <c r="Q6" s="36" t="s">
        <v>577</v>
      </c>
      <c r="R6" s="36" t="s">
        <v>577</v>
      </c>
      <c r="S6" s="36" t="s">
        <v>577</v>
      </c>
      <c r="U6" s="1" t="b">
        <f t="shared" si="0"/>
        <v>1</v>
      </c>
      <c r="V6" s="36" t="s">
        <v>521</v>
      </c>
      <c r="W6" s="36" t="s">
        <v>521</v>
      </c>
    </row>
    <row r="7" spans="1:23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/>
      <c r="M7" s="36" t="s">
        <v>494</v>
      </c>
      <c r="N7" s="36" t="s">
        <v>494</v>
      </c>
      <c r="O7" s="36" t="s">
        <v>494</v>
      </c>
      <c r="P7" s="36"/>
      <c r="Q7" s="36" t="s">
        <v>494</v>
      </c>
      <c r="R7" s="36" t="s">
        <v>494</v>
      </c>
      <c r="S7" s="36" t="s">
        <v>494</v>
      </c>
      <c r="U7" s="1" t="b">
        <f t="shared" si="0"/>
        <v>1</v>
      </c>
      <c r="V7" s="36" t="s">
        <v>494</v>
      </c>
      <c r="W7" s="36" t="s">
        <v>494</v>
      </c>
    </row>
    <row r="8" spans="1:23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/>
      <c r="M8" s="36">
        <v>0</v>
      </c>
      <c r="N8" s="36">
        <v>0</v>
      </c>
      <c r="O8" s="36">
        <v>0</v>
      </c>
      <c r="P8" s="36"/>
      <c r="Q8" s="36">
        <v>0</v>
      </c>
      <c r="R8" s="36">
        <v>0</v>
      </c>
      <c r="S8" s="36">
        <v>0</v>
      </c>
      <c r="U8" s="1" t="b">
        <f t="shared" si="0"/>
        <v>1</v>
      </c>
      <c r="V8" s="36">
        <v>0</v>
      </c>
      <c r="W8" s="36">
        <v>0</v>
      </c>
    </row>
    <row r="9" spans="1:23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/>
      <c r="M9" s="77" t="s">
        <v>87</v>
      </c>
      <c r="N9" s="77" t="s">
        <v>87</v>
      </c>
      <c r="O9" s="77" t="s">
        <v>87</v>
      </c>
      <c r="P9" s="77"/>
      <c r="Q9" s="77" t="s">
        <v>87</v>
      </c>
      <c r="R9" s="77" t="s">
        <v>87</v>
      </c>
      <c r="S9" s="77" t="s">
        <v>87</v>
      </c>
      <c r="U9" s="1" t="b">
        <f t="shared" si="0"/>
        <v>1</v>
      </c>
      <c r="V9" s="77" t="s">
        <v>87</v>
      </c>
      <c r="W9" s="77" t="s">
        <v>87</v>
      </c>
    </row>
    <row r="10" spans="1:23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/>
      <c r="M10" s="77">
        <v>1</v>
      </c>
      <c r="N10" s="77">
        <v>1</v>
      </c>
      <c r="O10" s="77">
        <v>1</v>
      </c>
      <c r="P10" s="77"/>
      <c r="Q10" s="77">
        <v>1</v>
      </c>
      <c r="R10" s="77">
        <v>1</v>
      </c>
      <c r="S10" s="77">
        <v>1</v>
      </c>
      <c r="U10" s="1" t="b">
        <f t="shared" si="0"/>
        <v>1</v>
      </c>
      <c r="V10" s="77">
        <v>1</v>
      </c>
      <c r="W10" s="77">
        <v>1</v>
      </c>
    </row>
    <row r="11" spans="1:23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/>
      <c r="M11" s="77" t="s">
        <v>88</v>
      </c>
      <c r="N11" s="77" t="s">
        <v>88</v>
      </c>
      <c r="O11" s="77" t="s">
        <v>88</v>
      </c>
      <c r="P11" s="77"/>
      <c r="Q11" s="77" t="s">
        <v>88</v>
      </c>
      <c r="R11" s="77" t="s">
        <v>88</v>
      </c>
      <c r="S11" s="77" t="s">
        <v>88</v>
      </c>
      <c r="U11" s="1" t="b">
        <f t="shared" si="0"/>
        <v>1</v>
      </c>
      <c r="V11" s="77" t="s">
        <v>88</v>
      </c>
      <c r="W11" s="77" t="s">
        <v>88</v>
      </c>
    </row>
    <row r="12" spans="1:23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/>
      <c r="M12" s="85">
        <v>180</v>
      </c>
      <c r="N12" s="85">
        <v>180</v>
      </c>
      <c r="O12" s="85">
        <v>180</v>
      </c>
      <c r="P12" s="85"/>
      <c r="Q12" s="85">
        <v>180</v>
      </c>
      <c r="R12" s="85">
        <v>180</v>
      </c>
      <c r="S12" s="85">
        <v>180</v>
      </c>
      <c r="U12" s="1" t="b">
        <f t="shared" si="0"/>
        <v>1</v>
      </c>
      <c r="V12" s="85">
        <v>180</v>
      </c>
      <c r="W12" s="85">
        <v>180</v>
      </c>
    </row>
    <row r="13" spans="1:23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/>
      <c r="M13" s="78">
        <v>4.1666666999999998E-2</v>
      </c>
      <c r="N13" s="78">
        <v>4.1666666999999998E-2</v>
      </c>
      <c r="O13" s="78">
        <v>4.1666666999999998E-2</v>
      </c>
      <c r="P13" s="78"/>
      <c r="Q13" s="78">
        <v>4.1666666999999998E-2</v>
      </c>
      <c r="R13" s="78">
        <v>4.1666666999999998E-2</v>
      </c>
      <c r="S13" s="78">
        <v>4.1666666999999998E-2</v>
      </c>
      <c r="U13" s="1" t="b">
        <f t="shared" si="0"/>
        <v>1</v>
      </c>
      <c r="V13" s="78">
        <v>4.1666666999999998E-2</v>
      </c>
      <c r="W13" s="78">
        <v>4.1666666999999998E-2</v>
      </c>
    </row>
    <row r="14" spans="1:23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/>
      <c r="M14" s="79">
        <v>4.1666666999999998E-2</v>
      </c>
      <c r="N14" s="79">
        <v>4.1666666999999998E-2</v>
      </c>
      <c r="O14" s="79">
        <v>4.1666666999999998E-2</v>
      </c>
      <c r="P14" s="79"/>
      <c r="Q14" s="79">
        <v>4.1666666999999998E-2</v>
      </c>
      <c r="R14" s="79">
        <v>4.1666666999999998E-2</v>
      </c>
      <c r="S14" s="79">
        <v>4.1666666999999998E-2</v>
      </c>
      <c r="U14" s="1" t="b">
        <f t="shared" si="0"/>
        <v>1</v>
      </c>
      <c r="V14" s="79">
        <v>4.1666666999999998E-2</v>
      </c>
      <c r="W14" s="79">
        <v>4.1666666999999998E-2</v>
      </c>
    </row>
    <row r="15" spans="1:23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/>
      <c r="M15" s="77">
        <v>1</v>
      </c>
      <c r="N15" s="77">
        <v>1</v>
      </c>
      <c r="O15" s="77">
        <v>1</v>
      </c>
      <c r="P15" s="77"/>
      <c r="Q15" s="77">
        <v>1</v>
      </c>
      <c r="R15" s="77">
        <v>1</v>
      </c>
      <c r="S15" s="77">
        <v>1</v>
      </c>
      <c r="U15" s="1" t="b">
        <f t="shared" si="0"/>
        <v>1</v>
      </c>
      <c r="V15" s="77">
        <v>1</v>
      </c>
      <c r="W15" s="77">
        <v>1</v>
      </c>
    </row>
    <row r="16" spans="1:23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/>
      <c r="M16" s="77">
        <v>0</v>
      </c>
      <c r="N16" s="77">
        <v>0</v>
      </c>
      <c r="O16" s="77">
        <v>0</v>
      </c>
      <c r="P16" s="77"/>
      <c r="Q16" s="77">
        <v>0</v>
      </c>
      <c r="R16" s="77">
        <v>0</v>
      </c>
      <c r="S16" s="77">
        <v>0</v>
      </c>
      <c r="U16" s="1" t="b">
        <f t="shared" si="0"/>
        <v>1</v>
      </c>
      <c r="V16" s="77">
        <v>0</v>
      </c>
      <c r="W16" s="77">
        <v>0</v>
      </c>
    </row>
    <row r="17" spans="1:23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/>
      <c r="M17" s="77" t="s">
        <v>88</v>
      </c>
      <c r="N17" s="77" t="s">
        <v>88</v>
      </c>
      <c r="O17" s="77" t="s">
        <v>88</v>
      </c>
      <c r="P17" s="77"/>
      <c r="Q17" s="77" t="s">
        <v>88</v>
      </c>
      <c r="R17" s="77" t="s">
        <v>88</v>
      </c>
      <c r="S17" s="77" t="s">
        <v>88</v>
      </c>
      <c r="U17" s="1" t="b">
        <f t="shared" si="0"/>
        <v>1</v>
      </c>
      <c r="V17" s="77" t="s">
        <v>88</v>
      </c>
      <c r="W17" s="77" t="s">
        <v>88</v>
      </c>
    </row>
    <row r="18" spans="1:23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/>
      <c r="M18" s="80">
        <v>5.0000000000000001E-9</v>
      </c>
      <c r="N18" s="80">
        <v>5.0000000000000001E-9</v>
      </c>
      <c r="O18" s="80">
        <v>5.0000000000000001E-9</v>
      </c>
      <c r="P18" s="80"/>
      <c r="Q18" s="80">
        <v>5.0000000000000001E-9</v>
      </c>
      <c r="R18" s="80">
        <v>5.0000000000000001E-9</v>
      </c>
      <c r="S18" s="80">
        <v>5.0000000000000001E-9</v>
      </c>
      <c r="U18" s="1" t="b">
        <f t="shared" si="0"/>
        <v>1</v>
      </c>
      <c r="V18" s="80">
        <v>5.0000000000000001E-9</v>
      </c>
      <c r="W18" s="80">
        <v>5.0000000000000001E-9</v>
      </c>
    </row>
    <row r="19" spans="1:23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/>
      <c r="M19" s="77">
        <v>10</v>
      </c>
      <c r="N19" s="77">
        <v>10</v>
      </c>
      <c r="O19" s="77">
        <v>10</v>
      </c>
      <c r="P19" s="77"/>
      <c r="Q19" s="77">
        <v>10</v>
      </c>
      <c r="R19" s="77">
        <v>10</v>
      </c>
      <c r="S19" s="77">
        <v>10</v>
      </c>
      <c r="U19" s="1" t="b">
        <f t="shared" si="0"/>
        <v>1</v>
      </c>
      <c r="V19" s="77">
        <v>10</v>
      </c>
      <c r="W19" s="77">
        <v>10</v>
      </c>
    </row>
    <row r="20" spans="1:23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/>
      <c r="Q20" s="77" t="s">
        <v>88</v>
      </c>
      <c r="R20" s="77" t="s">
        <v>88</v>
      </c>
      <c r="S20" s="77" t="s">
        <v>88</v>
      </c>
      <c r="U20" s="1" t="b">
        <f t="shared" si="0"/>
        <v>1</v>
      </c>
      <c r="V20" s="77" t="s">
        <v>88</v>
      </c>
      <c r="W20" s="77" t="s">
        <v>88</v>
      </c>
    </row>
    <row r="21" spans="1:23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/>
      <c r="Q21" s="77" t="s">
        <v>88</v>
      </c>
      <c r="R21" s="77" t="s">
        <v>88</v>
      </c>
      <c r="S21" s="77" t="s">
        <v>88</v>
      </c>
      <c r="U21" s="1" t="b">
        <f t="shared" si="0"/>
        <v>1</v>
      </c>
      <c r="V21" s="77" t="s">
        <v>88</v>
      </c>
      <c r="W21" s="77" t="s">
        <v>88</v>
      </c>
    </row>
    <row r="22" spans="1:23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/>
      <c r="M22" s="77" t="s">
        <v>88</v>
      </c>
      <c r="N22" s="77" t="s">
        <v>88</v>
      </c>
      <c r="O22" s="77" t="s">
        <v>88</v>
      </c>
      <c r="P22" s="77"/>
      <c r="Q22" s="77" t="s">
        <v>88</v>
      </c>
      <c r="R22" s="77" t="s">
        <v>88</v>
      </c>
      <c r="S22" s="77" t="s">
        <v>88</v>
      </c>
      <c r="U22" s="1" t="b">
        <f t="shared" si="0"/>
        <v>1</v>
      </c>
      <c r="V22" s="77" t="s">
        <v>88</v>
      </c>
      <c r="W22" s="77" t="s">
        <v>88</v>
      </c>
    </row>
    <row r="23" spans="1:23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/>
      <c r="M23" s="77">
        <v>86400</v>
      </c>
      <c r="N23" s="77">
        <v>86400</v>
      </c>
      <c r="O23" s="77">
        <v>86400</v>
      </c>
      <c r="P23" s="77"/>
      <c r="Q23" s="77">
        <v>86400</v>
      </c>
      <c r="R23" s="77">
        <v>86400</v>
      </c>
      <c r="S23" s="77">
        <v>86400</v>
      </c>
      <c r="U23" s="1" t="b">
        <f t="shared" si="0"/>
        <v>1</v>
      </c>
      <c r="V23" s="77">
        <v>86400</v>
      </c>
      <c r="W23" s="77">
        <v>86400</v>
      </c>
    </row>
    <row r="24" spans="1:23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/>
      <c r="M24" s="77" t="s">
        <v>87</v>
      </c>
      <c r="N24" s="77" t="s">
        <v>87</v>
      </c>
      <c r="O24" s="77" t="s">
        <v>87</v>
      </c>
      <c r="P24" s="77"/>
      <c r="Q24" s="77" t="s">
        <v>87</v>
      </c>
      <c r="R24" s="77" t="s">
        <v>87</v>
      </c>
      <c r="S24" s="77" t="s">
        <v>87</v>
      </c>
      <c r="U24" s="1" t="b">
        <f t="shared" si="0"/>
        <v>1</v>
      </c>
      <c r="V24" s="77" t="s">
        <v>87</v>
      </c>
      <c r="W24" s="77" t="s">
        <v>87</v>
      </c>
    </row>
    <row r="25" spans="1:23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/>
      <c r="M25" s="77">
        <v>3</v>
      </c>
      <c r="N25" s="77">
        <v>3</v>
      </c>
      <c r="O25" s="77">
        <v>3</v>
      </c>
      <c r="P25" s="77"/>
      <c r="Q25" s="77">
        <v>3</v>
      </c>
      <c r="R25" s="77">
        <v>3</v>
      </c>
      <c r="S25" s="77">
        <v>3</v>
      </c>
      <c r="U25" s="1" t="b">
        <f t="shared" si="0"/>
        <v>1</v>
      </c>
      <c r="V25" s="77">
        <v>3</v>
      </c>
      <c r="W25" s="77">
        <v>3</v>
      </c>
    </row>
    <row r="26" spans="1:23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/>
      <c r="Q26" s="81" t="s">
        <v>88</v>
      </c>
      <c r="R26" s="81" t="s">
        <v>88</v>
      </c>
      <c r="S26" s="81" t="s">
        <v>88</v>
      </c>
      <c r="U26" s="1" t="b">
        <f t="shared" si="0"/>
        <v>1</v>
      </c>
      <c r="V26" s="81" t="s">
        <v>88</v>
      </c>
      <c r="W26" s="81" t="s">
        <v>88</v>
      </c>
    </row>
    <row r="27" spans="1:23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/>
      <c r="M27" s="81" t="s">
        <v>88</v>
      </c>
      <c r="N27" s="81" t="s">
        <v>88</v>
      </c>
      <c r="O27" s="81" t="s">
        <v>88</v>
      </c>
      <c r="P27" s="81"/>
      <c r="Q27" s="81" t="s">
        <v>88</v>
      </c>
      <c r="R27" s="81" t="s">
        <v>88</v>
      </c>
      <c r="S27" s="81" t="s">
        <v>88</v>
      </c>
      <c r="U27" s="1" t="b">
        <f t="shared" si="0"/>
        <v>1</v>
      </c>
      <c r="V27" s="81" t="s">
        <v>88</v>
      </c>
      <c r="W27" s="81" t="s">
        <v>88</v>
      </c>
    </row>
    <row r="28" spans="1:23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/>
      <c r="M28" s="77" t="s">
        <v>88</v>
      </c>
      <c r="N28" s="77" t="s">
        <v>88</v>
      </c>
      <c r="O28" s="77" t="s">
        <v>88</v>
      </c>
      <c r="P28" s="77"/>
      <c r="Q28" s="77" t="s">
        <v>88</v>
      </c>
      <c r="R28" s="77" t="s">
        <v>88</v>
      </c>
      <c r="S28" s="77" t="s">
        <v>88</v>
      </c>
      <c r="U28" s="1" t="b">
        <f t="shared" si="0"/>
        <v>1</v>
      </c>
      <c r="V28" s="77" t="s">
        <v>88</v>
      </c>
      <c r="W28" s="77" t="s">
        <v>88</v>
      </c>
    </row>
    <row r="29" spans="1:23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/>
      <c r="Q29" s="81" t="s">
        <v>88</v>
      </c>
      <c r="R29" s="81" t="s">
        <v>88</v>
      </c>
      <c r="S29" s="81" t="s">
        <v>88</v>
      </c>
      <c r="U29" s="1" t="b">
        <f t="shared" si="0"/>
        <v>1</v>
      </c>
      <c r="V29" s="81" t="s">
        <v>88</v>
      </c>
      <c r="W29" s="81" t="s">
        <v>88</v>
      </c>
    </row>
    <row r="30" spans="1:23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/>
      <c r="M30" s="81" t="s">
        <v>88</v>
      </c>
      <c r="N30" s="81" t="s">
        <v>88</v>
      </c>
      <c r="O30" s="81" t="s">
        <v>88</v>
      </c>
      <c r="P30" s="81"/>
      <c r="Q30" s="81" t="s">
        <v>88</v>
      </c>
      <c r="R30" s="81" t="s">
        <v>88</v>
      </c>
      <c r="S30" s="81" t="s">
        <v>88</v>
      </c>
      <c r="U30" s="1" t="b">
        <f t="shared" si="0"/>
        <v>1</v>
      </c>
      <c r="V30" s="81" t="s">
        <v>88</v>
      </c>
      <c r="W30" s="81" t="s">
        <v>88</v>
      </c>
    </row>
    <row r="31" spans="1:23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/>
      <c r="M31" s="77" t="s">
        <v>88</v>
      </c>
      <c r="N31" s="77" t="s">
        <v>88</v>
      </c>
      <c r="O31" s="77" t="s">
        <v>88</v>
      </c>
      <c r="P31" s="77"/>
      <c r="Q31" s="77" t="s">
        <v>88</v>
      </c>
      <c r="R31" s="77" t="s">
        <v>88</v>
      </c>
      <c r="S31" s="77" t="s">
        <v>88</v>
      </c>
      <c r="U31" s="1" t="b">
        <f t="shared" si="0"/>
        <v>1</v>
      </c>
      <c r="V31" s="77" t="s">
        <v>88</v>
      </c>
      <c r="W31" s="77" t="s">
        <v>88</v>
      </c>
    </row>
    <row r="32" spans="1:23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/>
      <c r="M32" s="77">
        <v>0.33</v>
      </c>
      <c r="N32" s="77">
        <v>0.33</v>
      </c>
      <c r="O32" s="77">
        <v>0.33</v>
      </c>
      <c r="P32" s="77"/>
      <c r="Q32" s="77">
        <v>0.33</v>
      </c>
      <c r="R32" s="77">
        <v>0.33</v>
      </c>
      <c r="S32" s="77">
        <v>0.33</v>
      </c>
      <c r="U32" s="1" t="b">
        <f t="shared" si="0"/>
        <v>1</v>
      </c>
      <c r="V32" s="77">
        <v>0.33</v>
      </c>
      <c r="W32" s="77">
        <v>0.33</v>
      </c>
    </row>
    <row r="33" spans="1:23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/>
      <c r="Q33" s="77" t="s">
        <v>88</v>
      </c>
      <c r="R33" s="77" t="s">
        <v>88</v>
      </c>
      <c r="S33" s="77" t="s">
        <v>88</v>
      </c>
      <c r="U33" s="1" t="b">
        <f t="shared" si="0"/>
        <v>1</v>
      </c>
      <c r="V33" s="77" t="s">
        <v>88</v>
      </c>
      <c r="W33" s="77" t="s">
        <v>88</v>
      </c>
    </row>
    <row r="34" spans="1:23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/>
      <c r="Q34" s="77" t="s">
        <v>88</v>
      </c>
      <c r="R34" s="77" t="s">
        <v>88</v>
      </c>
      <c r="S34" s="77" t="s">
        <v>88</v>
      </c>
      <c r="U34" s="1" t="b">
        <f t="shared" si="0"/>
        <v>1</v>
      </c>
      <c r="V34" s="77" t="s">
        <v>88</v>
      </c>
      <c r="W34" s="77" t="s">
        <v>88</v>
      </c>
    </row>
    <row r="35" spans="1:23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/>
      <c r="M35" s="77" t="s">
        <v>88</v>
      </c>
      <c r="N35" s="77" t="s">
        <v>88</v>
      </c>
      <c r="O35" s="77" t="s">
        <v>88</v>
      </c>
      <c r="P35" s="77"/>
      <c r="Q35" s="77" t="s">
        <v>88</v>
      </c>
      <c r="R35" s="77" t="s">
        <v>88</v>
      </c>
      <c r="S35" s="77" t="s">
        <v>88</v>
      </c>
      <c r="U35" s="1" t="b">
        <f t="shared" si="0"/>
        <v>1</v>
      </c>
      <c r="V35" s="77" t="s">
        <v>88</v>
      </c>
      <c r="W35" s="77" t="s">
        <v>88</v>
      </c>
    </row>
    <row r="36" spans="1:23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/>
      <c r="M36" s="77" t="s">
        <v>87</v>
      </c>
      <c r="N36" s="77" t="s">
        <v>87</v>
      </c>
      <c r="O36" s="77" t="s">
        <v>87</v>
      </c>
      <c r="P36" s="77"/>
      <c r="Q36" s="77" t="s">
        <v>87</v>
      </c>
      <c r="R36" s="77" t="s">
        <v>87</v>
      </c>
      <c r="S36" s="77" t="s">
        <v>87</v>
      </c>
      <c r="U36" s="1" t="b">
        <f t="shared" si="0"/>
        <v>1</v>
      </c>
      <c r="V36" s="77" t="s">
        <v>87</v>
      </c>
      <c r="W36" s="77" t="s">
        <v>87</v>
      </c>
    </row>
    <row r="37" spans="1:23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/>
      <c r="M37" s="85" t="s">
        <v>433</v>
      </c>
      <c r="N37" s="85" t="s">
        <v>433</v>
      </c>
      <c r="O37" s="85" t="s">
        <v>433</v>
      </c>
      <c r="P37" s="85"/>
      <c r="Q37" s="85" t="s">
        <v>433</v>
      </c>
      <c r="R37" s="85" t="s">
        <v>433</v>
      </c>
      <c r="S37" s="85" t="s">
        <v>433</v>
      </c>
      <c r="U37" s="1" t="b">
        <f t="shared" si="0"/>
        <v>1</v>
      </c>
      <c r="V37" s="85" t="s">
        <v>433</v>
      </c>
      <c r="W37" s="85" t="s">
        <v>433</v>
      </c>
    </row>
    <row r="38" spans="1:23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/>
      <c r="M38" s="80">
        <v>9.9999999999999995E-7</v>
      </c>
      <c r="N38" s="80">
        <v>9.9999999999999995E-7</v>
      </c>
      <c r="O38" s="80">
        <v>9.9999999999999995E-7</v>
      </c>
      <c r="P38" s="80"/>
      <c r="Q38" s="80">
        <v>9.9999999999999995E-7</v>
      </c>
      <c r="R38" s="80">
        <v>9.9999999999999995E-7</v>
      </c>
      <c r="S38" s="80">
        <v>9.9999999999999995E-7</v>
      </c>
      <c r="U38" s="1" t="b">
        <f t="shared" si="0"/>
        <v>1</v>
      </c>
      <c r="V38" s="80">
        <v>9.9999999999999995E-7</v>
      </c>
      <c r="W38" s="80">
        <v>9.9999999999999995E-7</v>
      </c>
    </row>
    <row r="39" spans="1:23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/>
      <c r="M39" s="86">
        <v>1E-3</v>
      </c>
      <c r="N39" s="86">
        <v>1E-3</v>
      </c>
      <c r="O39" s="86">
        <v>1E-3</v>
      </c>
      <c r="P39" s="86"/>
      <c r="Q39" s="86">
        <v>1E-3</v>
      </c>
      <c r="R39" s="86">
        <v>1E-3</v>
      </c>
      <c r="S39" s="86">
        <v>1E-3</v>
      </c>
      <c r="U39" s="1" t="b">
        <f t="shared" si="0"/>
        <v>1</v>
      </c>
      <c r="V39" s="86">
        <v>1E-3</v>
      </c>
      <c r="W39" s="86">
        <v>1E-3</v>
      </c>
    </row>
    <row r="40" spans="1:23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/>
      <c r="M40" s="77" t="s">
        <v>87</v>
      </c>
      <c r="N40" s="77" t="s">
        <v>87</v>
      </c>
      <c r="O40" s="77" t="s">
        <v>87</v>
      </c>
      <c r="P40" s="77"/>
      <c r="Q40" s="77" t="s">
        <v>87</v>
      </c>
      <c r="R40" s="77" t="s">
        <v>87</v>
      </c>
      <c r="S40" s="77" t="s">
        <v>87</v>
      </c>
      <c r="U40" s="1" t="b">
        <f t="shared" si="0"/>
        <v>1</v>
      </c>
      <c r="V40" s="77" t="s">
        <v>87</v>
      </c>
      <c r="W40" s="77" t="s">
        <v>87</v>
      </c>
    </row>
    <row r="41" spans="1:23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/>
      <c r="M41" s="77" t="s">
        <v>89</v>
      </c>
      <c r="N41" s="77" t="s">
        <v>89</v>
      </c>
      <c r="O41" s="77" t="s">
        <v>89</v>
      </c>
      <c r="P41" s="77"/>
      <c r="Q41" s="77" t="s">
        <v>89</v>
      </c>
      <c r="R41" s="77" t="s">
        <v>89</v>
      </c>
      <c r="S41" s="77" t="s">
        <v>89</v>
      </c>
      <c r="U41" s="1" t="b">
        <f t="shared" si="0"/>
        <v>1</v>
      </c>
      <c r="V41" s="77" t="s">
        <v>89</v>
      </c>
      <c r="W41" s="77" t="s">
        <v>89</v>
      </c>
    </row>
    <row r="42" spans="1:23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/>
      <c r="M42" s="77" t="s">
        <v>87</v>
      </c>
      <c r="N42" s="77" t="s">
        <v>87</v>
      </c>
      <c r="O42" s="77" t="s">
        <v>87</v>
      </c>
      <c r="P42" s="77"/>
      <c r="Q42" s="77" t="s">
        <v>87</v>
      </c>
      <c r="R42" s="77" t="s">
        <v>87</v>
      </c>
      <c r="S42" s="77" t="s">
        <v>87</v>
      </c>
      <c r="U42" s="1" t="b">
        <f t="shared" si="0"/>
        <v>1</v>
      </c>
      <c r="V42" s="77" t="s">
        <v>87</v>
      </c>
      <c r="W42" s="77" t="s">
        <v>87</v>
      </c>
    </row>
    <row r="43" spans="1:23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/>
      <c r="M43" s="77" t="s">
        <v>88</v>
      </c>
      <c r="N43" s="77" t="s">
        <v>88</v>
      </c>
      <c r="O43" s="77" t="s">
        <v>88</v>
      </c>
      <c r="P43" s="77"/>
      <c r="Q43" s="77" t="s">
        <v>88</v>
      </c>
      <c r="R43" s="77" t="s">
        <v>88</v>
      </c>
      <c r="S43" s="77" t="s">
        <v>88</v>
      </c>
      <c r="U43" s="1" t="b">
        <f t="shared" si="0"/>
        <v>1</v>
      </c>
      <c r="V43" s="77" t="s">
        <v>88</v>
      </c>
      <c r="W43" s="77" t="s">
        <v>88</v>
      </c>
    </row>
    <row r="44" spans="1:23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/>
      <c r="M44" s="77">
        <v>120</v>
      </c>
      <c r="N44" s="77">
        <v>120</v>
      </c>
      <c r="O44" s="77">
        <v>120</v>
      </c>
      <c r="P44" s="77"/>
      <c r="Q44" s="77">
        <v>120</v>
      </c>
      <c r="R44" s="77">
        <v>120</v>
      </c>
      <c r="S44" s="77">
        <v>120</v>
      </c>
      <c r="U44" s="1" t="b">
        <f t="shared" si="0"/>
        <v>1</v>
      </c>
      <c r="V44" s="77">
        <v>120</v>
      </c>
      <c r="W44" s="77">
        <v>120</v>
      </c>
    </row>
    <row r="45" spans="1:23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/>
      <c r="Q45" s="77">
        <v>0</v>
      </c>
      <c r="R45" s="77">
        <v>0</v>
      </c>
      <c r="S45" s="77">
        <v>0</v>
      </c>
      <c r="U45" s="1" t="b">
        <f t="shared" si="0"/>
        <v>1</v>
      </c>
      <c r="V45" s="77">
        <v>0</v>
      </c>
      <c r="W45" s="77">
        <v>0</v>
      </c>
    </row>
    <row r="46" spans="1:23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/>
      <c r="M46" s="77">
        <v>0</v>
      </c>
      <c r="N46" s="77">
        <v>0</v>
      </c>
      <c r="O46" s="77">
        <v>0</v>
      </c>
      <c r="P46" s="77"/>
      <c r="Q46" s="77">
        <v>0</v>
      </c>
      <c r="R46" s="77">
        <v>0</v>
      </c>
      <c r="S46" s="77">
        <v>0</v>
      </c>
      <c r="U46" s="1" t="b">
        <f t="shared" si="0"/>
        <v>1</v>
      </c>
      <c r="V46" s="77">
        <v>0</v>
      </c>
      <c r="W46" s="77">
        <v>0</v>
      </c>
    </row>
    <row r="47" spans="1:23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/>
      <c r="M47" s="77">
        <v>-0.1</v>
      </c>
      <c r="N47" s="77">
        <v>-0.1</v>
      </c>
      <c r="O47" s="77">
        <v>-0.1</v>
      </c>
      <c r="P47" s="77"/>
      <c r="Q47" s="77">
        <v>-0.1</v>
      </c>
      <c r="R47" s="77">
        <v>-0.1</v>
      </c>
      <c r="S47" s="77">
        <v>-0.1</v>
      </c>
      <c r="U47" s="1" t="b">
        <f t="shared" si="0"/>
        <v>1</v>
      </c>
      <c r="V47" s="77">
        <v>-0.1</v>
      </c>
      <c r="W47" s="77">
        <v>-0.1</v>
      </c>
    </row>
    <row r="48" spans="1:23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/>
      <c r="M48" s="77">
        <v>-0.2</v>
      </c>
      <c r="N48" s="77">
        <v>-0.2</v>
      </c>
      <c r="O48" s="77">
        <v>-0.2</v>
      </c>
      <c r="P48" s="77"/>
      <c r="Q48" s="77">
        <v>-0.2</v>
      </c>
      <c r="R48" s="77">
        <v>-0.2</v>
      </c>
      <c r="S48" s="77">
        <v>-0.2</v>
      </c>
      <c r="U48" s="1" t="b">
        <f t="shared" si="0"/>
        <v>1</v>
      </c>
      <c r="V48" s="77">
        <v>-0.2</v>
      </c>
      <c r="W48" s="77">
        <v>-0.2</v>
      </c>
    </row>
    <row r="49" spans="1:23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/>
      <c r="M49" s="77">
        <v>0.4</v>
      </c>
      <c r="N49" s="77">
        <v>0.4</v>
      </c>
      <c r="O49" s="77">
        <v>0.4</v>
      </c>
      <c r="P49" s="77"/>
      <c r="Q49" s="77">
        <v>0.4</v>
      </c>
      <c r="R49" s="77">
        <v>0.4</v>
      </c>
      <c r="S49" s="77">
        <v>0.4</v>
      </c>
      <c r="U49" s="1" t="b">
        <f t="shared" si="0"/>
        <v>1</v>
      </c>
      <c r="V49" s="77">
        <v>0.4</v>
      </c>
      <c r="W49" s="77">
        <v>0.4</v>
      </c>
    </row>
    <row r="50" spans="1:23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/>
      <c r="M50" s="77">
        <v>0</v>
      </c>
      <c r="N50" s="77">
        <v>0</v>
      </c>
      <c r="O50" s="77">
        <v>0</v>
      </c>
      <c r="P50" s="77"/>
      <c r="Q50" s="77">
        <v>0</v>
      </c>
      <c r="R50" s="77">
        <v>0</v>
      </c>
      <c r="S50" s="77">
        <v>0</v>
      </c>
      <c r="U50" s="1" t="b">
        <f t="shared" si="0"/>
        <v>1</v>
      </c>
      <c r="V50" s="77">
        <v>0</v>
      </c>
      <c r="W50" s="77">
        <v>0</v>
      </c>
    </row>
    <row r="51" spans="1:23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/>
      <c r="Q51" s="77">
        <v>1200</v>
      </c>
      <c r="R51" s="77">
        <v>1200</v>
      </c>
      <c r="S51" s="77">
        <v>1200</v>
      </c>
      <c r="U51" s="1" t="b">
        <f t="shared" si="0"/>
        <v>1</v>
      </c>
      <c r="V51" s="77">
        <v>1200</v>
      </c>
      <c r="W51" s="77">
        <v>1200</v>
      </c>
    </row>
    <row r="52" spans="1:23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/>
      <c r="M52" s="77">
        <v>1200</v>
      </c>
      <c r="N52" s="77">
        <v>1200</v>
      </c>
      <c r="O52" s="77">
        <v>1200</v>
      </c>
      <c r="P52" s="77"/>
      <c r="Q52" s="77">
        <v>1200</v>
      </c>
      <c r="R52" s="77">
        <v>1200</v>
      </c>
      <c r="S52" s="77">
        <v>1200</v>
      </c>
      <c r="U52" s="1" t="b">
        <f t="shared" si="0"/>
        <v>1</v>
      </c>
      <c r="V52" s="77">
        <v>1200</v>
      </c>
      <c r="W52" s="77">
        <v>1200</v>
      </c>
    </row>
    <row r="53" spans="1:23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/>
      <c r="M53" s="35" t="s">
        <v>460</v>
      </c>
      <c r="N53" s="35" t="s">
        <v>460</v>
      </c>
      <c r="O53" s="35" t="s">
        <v>460</v>
      </c>
      <c r="P53" s="35"/>
      <c r="Q53" s="35" t="s">
        <v>460</v>
      </c>
      <c r="R53" s="35" t="s">
        <v>460</v>
      </c>
      <c r="S53" s="35" t="s">
        <v>460</v>
      </c>
      <c r="U53" s="1" t="b">
        <f t="shared" si="0"/>
        <v>1</v>
      </c>
      <c r="V53" s="35" t="s">
        <v>460</v>
      </c>
      <c r="W53" s="35" t="s">
        <v>460</v>
      </c>
    </row>
    <row r="54" spans="1:23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/>
      <c r="Q54" s="77" t="s">
        <v>87</v>
      </c>
      <c r="R54" s="77" t="s">
        <v>87</v>
      </c>
      <c r="S54" s="77" t="s">
        <v>87</v>
      </c>
      <c r="U54" s="1" t="b">
        <f t="shared" si="0"/>
        <v>1</v>
      </c>
      <c r="V54" s="77" t="s">
        <v>87</v>
      </c>
      <c r="W54" s="77" t="s">
        <v>87</v>
      </c>
    </row>
    <row r="55" spans="1:23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/>
      <c r="M55" s="77" t="s">
        <v>87</v>
      </c>
      <c r="N55" s="77" t="s">
        <v>87</v>
      </c>
      <c r="O55" s="77" t="s">
        <v>87</v>
      </c>
      <c r="P55" s="77"/>
      <c r="Q55" s="77" t="s">
        <v>87</v>
      </c>
      <c r="R55" s="77" t="s">
        <v>87</v>
      </c>
      <c r="S55" s="77" t="s">
        <v>87</v>
      </c>
      <c r="U55" s="1" t="b">
        <f t="shared" si="0"/>
        <v>1</v>
      </c>
      <c r="V55" s="77" t="s">
        <v>87</v>
      </c>
      <c r="W55" s="77" t="s">
        <v>87</v>
      </c>
    </row>
    <row r="56" spans="1:23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/>
      <c r="M56" s="77">
        <v>0</v>
      </c>
      <c r="N56" s="77">
        <v>0</v>
      </c>
      <c r="O56" s="77">
        <v>0</v>
      </c>
      <c r="P56" s="77"/>
      <c r="Q56" s="77">
        <v>0</v>
      </c>
      <c r="R56" s="77">
        <v>0</v>
      </c>
      <c r="S56" s="77">
        <v>0</v>
      </c>
      <c r="U56" s="1" t="b">
        <f t="shared" si="0"/>
        <v>1</v>
      </c>
      <c r="V56" s="77">
        <v>0</v>
      </c>
      <c r="W56" s="77">
        <v>0</v>
      </c>
    </row>
    <row r="57" spans="1:23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/>
      <c r="M57" s="77">
        <v>0.5</v>
      </c>
      <c r="N57" s="77">
        <v>0.5</v>
      </c>
      <c r="O57" s="77">
        <v>0.5</v>
      </c>
      <c r="P57" s="77"/>
      <c r="Q57" s="77">
        <v>0.5</v>
      </c>
      <c r="R57" s="77">
        <v>0.5</v>
      </c>
      <c r="S57" s="77">
        <v>0.5</v>
      </c>
      <c r="U57" s="1" t="b">
        <f t="shared" si="0"/>
        <v>1</v>
      </c>
      <c r="V57" s="77">
        <v>0.5</v>
      </c>
      <c r="W57" s="77">
        <v>0.5</v>
      </c>
    </row>
    <row r="58" spans="1:23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/>
      <c r="M58" s="77">
        <v>0.05</v>
      </c>
      <c r="N58" s="77">
        <v>0.05</v>
      </c>
      <c r="O58" s="77">
        <v>0.05</v>
      </c>
      <c r="P58" s="77"/>
      <c r="Q58" s="77">
        <v>0.05</v>
      </c>
      <c r="R58" s="77">
        <v>0.05</v>
      </c>
      <c r="S58" s="77">
        <v>0.05</v>
      </c>
      <c r="U58" s="1" t="b">
        <f t="shared" si="0"/>
        <v>1</v>
      </c>
      <c r="V58" s="77">
        <v>0.05</v>
      </c>
      <c r="W58" s="77">
        <v>0.05</v>
      </c>
    </row>
    <row r="59" spans="1:23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/>
      <c r="M59" s="80">
        <v>1E-3</v>
      </c>
      <c r="N59" s="80">
        <v>1E-3</v>
      </c>
      <c r="O59" s="80">
        <v>1E-3</v>
      </c>
      <c r="P59" s="80"/>
      <c r="Q59" s="80">
        <v>1E-3</v>
      </c>
      <c r="R59" s="80">
        <v>1E-3</v>
      </c>
      <c r="S59" s="80">
        <v>1E-3</v>
      </c>
      <c r="U59" s="1" t="b">
        <f t="shared" si="0"/>
        <v>1</v>
      </c>
      <c r="V59" s="80">
        <v>1E-3</v>
      </c>
      <c r="W59" s="80">
        <v>1E-3</v>
      </c>
    </row>
    <row r="60" spans="1:23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/>
      <c r="M60" s="77">
        <v>0</v>
      </c>
      <c r="N60" s="77">
        <v>0</v>
      </c>
      <c r="O60" s="77">
        <v>0</v>
      </c>
      <c r="P60" s="77"/>
      <c r="Q60" s="77">
        <v>0</v>
      </c>
      <c r="R60" s="77">
        <v>0</v>
      </c>
      <c r="S60" s="77">
        <v>0</v>
      </c>
      <c r="U60" s="1" t="b">
        <f t="shared" si="0"/>
        <v>1</v>
      </c>
      <c r="V60" s="77">
        <v>0</v>
      </c>
      <c r="W60" s="77">
        <v>0</v>
      </c>
    </row>
    <row r="61" spans="1:23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/>
      <c r="Q61" s="77">
        <v>1E-4</v>
      </c>
      <c r="R61" s="77">
        <v>1E-4</v>
      </c>
      <c r="S61" s="77">
        <v>1E-4</v>
      </c>
      <c r="U61" s="1" t="b">
        <f t="shared" si="0"/>
        <v>1</v>
      </c>
      <c r="V61" s="77">
        <v>1E-4</v>
      </c>
      <c r="W61" s="77">
        <v>1E-4</v>
      </c>
    </row>
    <row r="62" spans="1:23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/>
      <c r="M62" s="77">
        <v>1E-4</v>
      </c>
      <c r="N62" s="77">
        <v>1E-4</v>
      </c>
      <c r="O62" s="77">
        <v>1E-4</v>
      </c>
      <c r="P62" s="77"/>
      <c r="Q62" s="77">
        <v>1E-4</v>
      </c>
      <c r="R62" s="77">
        <v>1E-4</v>
      </c>
      <c r="S62" s="77">
        <v>1E-4</v>
      </c>
      <c r="U62" s="1" t="b">
        <f t="shared" si="0"/>
        <v>1</v>
      </c>
      <c r="V62" s="77">
        <v>1E-4</v>
      </c>
      <c r="W62" s="77">
        <v>1E-4</v>
      </c>
    </row>
    <row r="63" spans="1:23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/>
      <c r="M63" s="77">
        <v>6.9999999999999999E-4</v>
      </c>
      <c r="N63" s="77">
        <v>6.9999999999999999E-4</v>
      </c>
      <c r="O63" s="77">
        <v>6.9999999999999999E-4</v>
      </c>
      <c r="P63" s="77"/>
      <c r="Q63" s="77">
        <v>6.9999999999999999E-4</v>
      </c>
      <c r="R63" s="77">
        <v>6.9999999999999999E-4</v>
      </c>
      <c r="S63" s="77">
        <v>6.9999999999999999E-4</v>
      </c>
      <c r="U63" s="1" t="b">
        <f t="shared" si="0"/>
        <v>1</v>
      </c>
      <c r="V63" s="77">
        <v>6.9999999999999999E-4</v>
      </c>
      <c r="W63" s="77">
        <v>6.9999999999999999E-4</v>
      </c>
    </row>
    <row r="64" spans="1:23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/>
      <c r="M64" s="77">
        <v>1.22E-4</v>
      </c>
      <c r="N64" s="77">
        <v>1.22E-4</v>
      </c>
      <c r="O64" s="77">
        <v>1.22E-4</v>
      </c>
      <c r="P64" s="77"/>
      <c r="Q64" s="77">
        <v>1.22E-4</v>
      </c>
      <c r="R64" s="77">
        <v>1.22E-4</v>
      </c>
      <c r="S64" s="77">
        <v>1.22E-4</v>
      </c>
      <c r="U64" s="1" t="b">
        <f t="shared" si="0"/>
        <v>1</v>
      </c>
      <c r="V64" s="77">
        <v>1.22E-4</v>
      </c>
      <c r="W64" s="77">
        <v>1.22E-4</v>
      </c>
    </row>
    <row r="65" spans="1:23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/>
      <c r="M65" s="77">
        <v>1</v>
      </c>
      <c r="N65" s="77">
        <v>1</v>
      </c>
      <c r="O65" s="77">
        <v>1</v>
      </c>
      <c r="P65" s="77"/>
      <c r="Q65" s="77">
        <v>1</v>
      </c>
      <c r="R65" s="77">
        <v>1</v>
      </c>
      <c r="S65" s="77">
        <v>1</v>
      </c>
      <c r="U65" s="1" t="b">
        <f t="shared" si="0"/>
        <v>1</v>
      </c>
      <c r="V65" s="77">
        <v>1</v>
      </c>
      <c r="W65" s="77">
        <v>1</v>
      </c>
    </row>
    <row r="66" spans="1:23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/>
      <c r="M66" s="77">
        <v>0.95</v>
      </c>
      <c r="N66" s="77">
        <v>0.95</v>
      </c>
      <c r="O66" s="77">
        <v>0.95</v>
      </c>
      <c r="P66" s="77"/>
      <c r="Q66" s="77">
        <v>0.95</v>
      </c>
      <c r="R66" s="77">
        <v>0.95</v>
      </c>
      <c r="S66" s="77">
        <v>0.95</v>
      </c>
      <c r="U66" s="1" t="b">
        <f t="shared" si="0"/>
        <v>1</v>
      </c>
      <c r="V66" s="77">
        <v>0.95</v>
      </c>
      <c r="W66" s="77">
        <v>0.95</v>
      </c>
    </row>
    <row r="67" spans="1:23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/>
      <c r="M67" s="77" t="s">
        <v>88</v>
      </c>
      <c r="N67" s="77" t="s">
        <v>88</v>
      </c>
      <c r="O67" s="77" t="s">
        <v>88</v>
      </c>
      <c r="P67" s="77"/>
      <c r="Q67" s="77" t="s">
        <v>88</v>
      </c>
      <c r="R67" s="77" t="s">
        <v>88</v>
      </c>
      <c r="S67" s="77" t="s">
        <v>88</v>
      </c>
      <c r="U67" s="1" t="b">
        <f t="shared" ref="U67:U130" si="1">M67=S67</f>
        <v>1</v>
      </c>
      <c r="V67" s="77" t="s">
        <v>88</v>
      </c>
      <c r="W67" s="77" t="s">
        <v>88</v>
      </c>
    </row>
    <row r="68" spans="1:23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/>
      <c r="M68" s="77">
        <v>5</v>
      </c>
      <c r="N68" s="77">
        <v>5</v>
      </c>
      <c r="O68" s="77">
        <v>5</v>
      </c>
      <c r="P68" s="77"/>
      <c r="Q68" s="77">
        <v>5</v>
      </c>
      <c r="R68" s="77">
        <v>5</v>
      </c>
      <c r="S68" s="77">
        <v>5</v>
      </c>
      <c r="U68" s="1" t="b">
        <f t="shared" si="1"/>
        <v>1</v>
      </c>
      <c r="V68" s="77">
        <v>5</v>
      </c>
      <c r="W68" s="77">
        <v>5</v>
      </c>
    </row>
    <row r="69" spans="1:23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/>
      <c r="M69" s="77" t="s">
        <v>88</v>
      </c>
      <c r="N69" s="77" t="s">
        <v>88</v>
      </c>
      <c r="O69" s="77" t="s">
        <v>88</v>
      </c>
      <c r="P69" s="77"/>
      <c r="Q69" s="77" t="s">
        <v>88</v>
      </c>
      <c r="R69" s="77" t="s">
        <v>88</v>
      </c>
      <c r="S69" s="77" t="s">
        <v>88</v>
      </c>
      <c r="U69" s="1" t="b">
        <f t="shared" si="1"/>
        <v>1</v>
      </c>
      <c r="V69" s="77" t="s">
        <v>88</v>
      </c>
      <c r="W69" s="77" t="s">
        <v>88</v>
      </c>
    </row>
    <row r="70" spans="1:23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/>
      <c r="M70" s="77">
        <v>50</v>
      </c>
      <c r="N70" s="77">
        <v>50</v>
      </c>
      <c r="O70" s="77">
        <v>50</v>
      </c>
      <c r="P70" s="77"/>
      <c r="Q70" s="77">
        <v>50</v>
      </c>
      <c r="R70" s="77">
        <v>50</v>
      </c>
      <c r="S70" s="77">
        <v>50</v>
      </c>
      <c r="U70" s="1" t="b">
        <f t="shared" si="1"/>
        <v>1</v>
      </c>
      <c r="V70" s="77">
        <v>50</v>
      </c>
      <c r="W70" s="77">
        <v>50</v>
      </c>
    </row>
    <row r="71" spans="1:23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/>
      <c r="M71" s="78">
        <v>1453890.8941884842</v>
      </c>
      <c r="N71" s="78">
        <v>1453890.8941884842</v>
      </c>
      <c r="O71" s="78">
        <v>1453890.8941884842</v>
      </c>
      <c r="P71" s="78"/>
      <c r="Q71" s="78">
        <v>1453890.8941884842</v>
      </c>
      <c r="R71" s="78">
        <v>1453890.8941884842</v>
      </c>
      <c r="S71" s="78">
        <v>1453890.8941884842</v>
      </c>
      <c r="U71" s="1" t="b">
        <f t="shared" si="1"/>
        <v>1</v>
      </c>
      <c r="V71" s="78">
        <v>1453890.8941884842</v>
      </c>
      <c r="W71" s="78">
        <v>1453890.8941884842</v>
      </c>
    </row>
    <row r="72" spans="1:23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/>
      <c r="M72" s="78">
        <v>1.3888888888888888E-5</v>
      </c>
      <c r="N72" s="78">
        <v>1.3888888888888888E-5</v>
      </c>
      <c r="O72" s="78">
        <v>1.3888888888888888E-5</v>
      </c>
      <c r="P72" s="78"/>
      <c r="Q72" s="78">
        <v>1.3888888888888888E-5</v>
      </c>
      <c r="R72" s="78">
        <v>1.3888888888888888E-5</v>
      </c>
      <c r="S72" s="78">
        <v>1.3888888888888888E-5</v>
      </c>
      <c r="U72" s="1" t="b">
        <f t="shared" si="1"/>
        <v>1</v>
      </c>
      <c r="V72" s="78">
        <v>1.3888888888888888E-5</v>
      </c>
      <c r="W72" s="78">
        <v>1.3888888888888888E-5</v>
      </c>
    </row>
    <row r="73" spans="1:23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/>
      <c r="M73" s="79">
        <v>6.5011574074074071E-4</v>
      </c>
      <c r="N73" s="79">
        <v>6.5011574074074071E-4</v>
      </c>
      <c r="O73" s="79">
        <v>6.5011574074074071E-4</v>
      </c>
      <c r="P73" s="79"/>
      <c r="Q73" s="79">
        <v>6.5011574074074071E-4</v>
      </c>
      <c r="R73" s="79">
        <v>6.5011574074074071E-4</v>
      </c>
      <c r="S73" s="79">
        <v>6.5011574074074071E-4</v>
      </c>
      <c r="U73" s="1" t="b">
        <f t="shared" si="1"/>
        <v>1</v>
      </c>
      <c r="V73" s="79">
        <v>6.5011574074074071E-4</v>
      </c>
      <c r="W73" s="79">
        <v>6.5011574074074071E-4</v>
      </c>
    </row>
    <row r="74" spans="1:23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/>
      <c r="M74" s="85">
        <v>4.7400000000000003E-3</v>
      </c>
      <c r="N74" s="85">
        <v>4.7400000000000003E-3</v>
      </c>
      <c r="O74" s="85">
        <v>4.7400000000000003E-3</v>
      </c>
      <c r="P74" s="85"/>
      <c r="Q74" s="85">
        <v>4.7400000000000003E-3</v>
      </c>
      <c r="R74" s="85">
        <v>4.7400000000000003E-3</v>
      </c>
      <c r="S74" s="85">
        <v>4.7400000000000003E-3</v>
      </c>
      <c r="U74" s="1" t="b">
        <f t="shared" si="1"/>
        <v>1</v>
      </c>
      <c r="V74" s="85">
        <v>4.7400000000000003E-3</v>
      </c>
      <c r="W74" s="85">
        <v>4.7400000000000003E-3</v>
      </c>
    </row>
    <row r="75" spans="1:23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/>
      <c r="M75" s="79">
        <f>282528</f>
        <v>282528</v>
      </c>
      <c r="N75" s="79">
        <f>282528</f>
        <v>282528</v>
      </c>
      <c r="O75" s="79">
        <f>282528</f>
        <v>282528</v>
      </c>
      <c r="P75" s="79"/>
      <c r="Q75" s="79">
        <f>282528</f>
        <v>282528</v>
      </c>
      <c r="R75" s="79">
        <f>282528</f>
        <v>282528</v>
      </c>
      <c r="S75" s="79">
        <v>282528</v>
      </c>
      <c r="U75" s="1" t="b">
        <f t="shared" si="1"/>
        <v>1</v>
      </c>
      <c r="V75" s="79">
        <v>282528</v>
      </c>
      <c r="W75" s="79">
        <v>282528</v>
      </c>
    </row>
    <row r="76" spans="1:23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/>
      <c r="M76" s="85">
        <v>0.56999999999999995</v>
      </c>
      <c r="N76" s="85">
        <v>0.56999999999999995</v>
      </c>
      <c r="O76" s="85">
        <v>0.56999999999999995</v>
      </c>
      <c r="P76" s="85"/>
      <c r="Q76" s="85">
        <v>0.56999999999999995</v>
      </c>
      <c r="R76" s="85">
        <v>0.56999999999999995</v>
      </c>
      <c r="S76" s="85">
        <v>0.56999999999999995</v>
      </c>
      <c r="U76" s="1" t="b">
        <f t="shared" si="1"/>
        <v>1</v>
      </c>
      <c r="V76" s="85">
        <v>0.56999999999999995</v>
      </c>
      <c r="W76" s="85">
        <v>0.56999999999999995</v>
      </c>
    </row>
    <row r="77" spans="1:23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/>
      <c r="M77" s="87">
        <v>0.16</v>
      </c>
      <c r="N77" s="87">
        <v>0.16</v>
      </c>
      <c r="O77" s="87">
        <v>0.16</v>
      </c>
      <c r="P77" s="87"/>
      <c r="Q77" s="87">
        <v>0.16</v>
      </c>
      <c r="R77" s="87">
        <v>0.16</v>
      </c>
      <c r="S77" s="87">
        <v>0.16</v>
      </c>
      <c r="U77" s="1" t="b">
        <f t="shared" si="1"/>
        <v>1</v>
      </c>
      <c r="V77" s="87">
        <v>0.16</v>
      </c>
      <c r="W77" s="87">
        <v>0.16</v>
      </c>
    </row>
    <row r="78" spans="1:23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/>
      <c r="M78" s="77">
        <v>0</v>
      </c>
      <c r="N78" s="77">
        <v>0</v>
      </c>
      <c r="O78" s="77">
        <v>0</v>
      </c>
      <c r="P78" s="77"/>
      <c r="Q78" s="77">
        <v>0</v>
      </c>
      <c r="R78" s="77">
        <v>0</v>
      </c>
      <c r="S78" s="77">
        <v>0</v>
      </c>
      <c r="U78" s="1" t="b">
        <f t="shared" si="1"/>
        <v>1</v>
      </c>
      <c r="V78" s="77">
        <v>0</v>
      </c>
      <c r="W78" s="77">
        <v>0</v>
      </c>
    </row>
    <row r="79" spans="1:23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/>
      <c r="M79" s="78">
        <v>745476480000</v>
      </c>
      <c r="N79" s="78">
        <v>745476480000</v>
      </c>
      <c r="O79" s="78">
        <v>745476480000</v>
      </c>
      <c r="P79" s="78"/>
      <c r="Q79" s="78">
        <v>745476480000</v>
      </c>
      <c r="R79" s="78">
        <v>745476480000</v>
      </c>
      <c r="S79" s="78">
        <v>745476480000</v>
      </c>
      <c r="U79" s="1" t="b">
        <f t="shared" si="1"/>
        <v>1</v>
      </c>
      <c r="V79" s="78">
        <v>745476480000</v>
      </c>
      <c r="W79" s="78">
        <v>745476480000</v>
      </c>
    </row>
    <row r="80" spans="1:23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/>
      <c r="M80" s="77">
        <v>100</v>
      </c>
      <c r="N80" s="77">
        <v>100</v>
      </c>
      <c r="O80" s="77">
        <v>100</v>
      </c>
      <c r="P80" s="77"/>
      <c r="Q80" s="77">
        <v>100</v>
      </c>
      <c r="R80" s="77">
        <v>100</v>
      </c>
      <c r="S80" s="77">
        <v>100</v>
      </c>
      <c r="U80" s="1" t="b">
        <f t="shared" si="1"/>
        <v>1</v>
      </c>
      <c r="V80" s="77">
        <v>100</v>
      </c>
      <c r="W80" s="77">
        <v>100</v>
      </c>
    </row>
    <row r="81" spans="1:23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/>
      <c r="M81" s="77" t="s">
        <v>87</v>
      </c>
      <c r="N81" s="77" t="s">
        <v>87</v>
      </c>
      <c r="O81" s="77" t="s">
        <v>87</v>
      </c>
      <c r="P81" s="77"/>
      <c r="Q81" s="77" t="s">
        <v>87</v>
      </c>
      <c r="R81" s="77" t="s">
        <v>87</v>
      </c>
      <c r="S81" s="77" t="s">
        <v>87</v>
      </c>
      <c r="U81" s="1" t="b">
        <f t="shared" si="1"/>
        <v>1</v>
      </c>
      <c r="V81" s="77" t="s">
        <v>88</v>
      </c>
      <c r="W81" s="77" t="s">
        <v>88</v>
      </c>
    </row>
    <row r="82" spans="1:23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/>
      <c r="M82" s="85">
        <v>21600</v>
      </c>
      <c r="N82" s="85">
        <v>21600</v>
      </c>
      <c r="O82" s="85">
        <v>21600</v>
      </c>
      <c r="P82" s="85"/>
      <c r="Q82" s="85">
        <v>21600</v>
      </c>
      <c r="R82" s="85">
        <v>21600</v>
      </c>
      <c r="S82" s="85">
        <v>21600</v>
      </c>
      <c r="U82" s="1" t="b">
        <f t="shared" si="1"/>
        <v>1</v>
      </c>
      <c r="V82" s="85">
        <v>21600</v>
      </c>
      <c r="W82" s="85">
        <v>21600</v>
      </c>
    </row>
    <row r="83" spans="1:23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/>
      <c r="M83" s="77">
        <v>0.5</v>
      </c>
      <c r="N83" s="77">
        <v>0.5</v>
      </c>
      <c r="O83" s="77">
        <v>0.5</v>
      </c>
      <c r="P83" s="77"/>
      <c r="Q83" s="77">
        <v>0.5</v>
      </c>
      <c r="R83" s="77">
        <v>0.5</v>
      </c>
      <c r="S83" s="77">
        <v>0.5</v>
      </c>
      <c r="U83" s="1" t="b">
        <f t="shared" si="1"/>
        <v>1</v>
      </c>
      <c r="V83" s="77">
        <v>0.5</v>
      </c>
      <c r="W83" s="77">
        <v>0.5</v>
      </c>
    </row>
    <row r="84" spans="1:23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/>
      <c r="M84" s="85">
        <v>60479.999999999993</v>
      </c>
      <c r="N84" s="85">
        <v>60479.999999999993</v>
      </c>
      <c r="O84" s="85">
        <v>60479.999999999993</v>
      </c>
      <c r="P84" s="85"/>
      <c r="Q84" s="85">
        <v>60479.999999999993</v>
      </c>
      <c r="R84" s="85">
        <v>60479.999999999993</v>
      </c>
      <c r="S84" s="85">
        <v>60479.999999999993</v>
      </c>
      <c r="U84" s="1" t="b">
        <f t="shared" si="1"/>
        <v>1</v>
      </c>
      <c r="V84" s="85">
        <v>60479.999999999993</v>
      </c>
      <c r="W84" s="85">
        <v>60479.999999999993</v>
      </c>
    </row>
    <row r="85" spans="1:23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/>
      <c r="M85" s="77">
        <v>0.85</v>
      </c>
      <c r="N85" s="77">
        <v>0.85</v>
      </c>
      <c r="O85" s="77">
        <v>0.85</v>
      </c>
      <c r="P85" s="77"/>
      <c r="Q85" s="77">
        <v>0.85</v>
      </c>
      <c r="R85" s="77">
        <v>0.85</v>
      </c>
      <c r="S85" s="77">
        <v>0.85</v>
      </c>
      <c r="U85" s="1" t="b">
        <f t="shared" si="1"/>
        <v>1</v>
      </c>
      <c r="V85" s="77">
        <v>0.85</v>
      </c>
      <c r="W85" s="77">
        <v>0.85</v>
      </c>
    </row>
    <row r="86" spans="1:23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/>
      <c r="M86" s="77">
        <v>518400</v>
      </c>
      <c r="N86" s="77">
        <v>518400</v>
      </c>
      <c r="O86" s="77">
        <v>518400</v>
      </c>
      <c r="P86" s="77"/>
      <c r="Q86" s="77">
        <v>518400</v>
      </c>
      <c r="R86" s="77">
        <v>518400</v>
      </c>
      <c r="S86" s="77">
        <v>518400</v>
      </c>
      <c r="U86" s="1" t="b">
        <f t="shared" si="1"/>
        <v>1</v>
      </c>
      <c r="V86" s="77">
        <v>518400</v>
      </c>
      <c r="W86" s="77">
        <v>518400</v>
      </c>
    </row>
    <row r="87" spans="1:23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/>
      <c r="M87" s="77">
        <v>5184000</v>
      </c>
      <c r="N87" s="77">
        <v>5184000</v>
      </c>
      <c r="O87" s="77">
        <v>5184000</v>
      </c>
      <c r="P87" s="77"/>
      <c r="Q87" s="77">
        <v>5184000</v>
      </c>
      <c r="R87" s="77">
        <v>5184000</v>
      </c>
      <c r="S87" s="77">
        <v>5184000</v>
      </c>
      <c r="U87" s="1" t="b">
        <f t="shared" si="1"/>
        <v>1</v>
      </c>
      <c r="V87" s="77">
        <v>5184000</v>
      </c>
      <c r="W87" s="77">
        <v>5184000</v>
      </c>
    </row>
    <row r="88" spans="1:23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/>
      <c r="M88" s="86">
        <v>50000</v>
      </c>
      <c r="N88" s="86">
        <v>50000</v>
      </c>
      <c r="O88" s="86">
        <v>50000</v>
      </c>
      <c r="P88" s="86"/>
      <c r="Q88" s="86">
        <v>50000</v>
      </c>
      <c r="R88" s="86">
        <v>50000</v>
      </c>
      <c r="S88" s="86">
        <v>50000</v>
      </c>
      <c r="U88" s="1" t="b">
        <f t="shared" si="1"/>
        <v>1</v>
      </c>
      <c r="V88" s="86">
        <v>50000</v>
      </c>
      <c r="W88" s="86">
        <v>50000</v>
      </c>
    </row>
    <row r="89" spans="1:23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/>
      <c r="M89" s="77">
        <v>140000</v>
      </c>
      <c r="N89" s="77">
        <v>140000</v>
      </c>
      <c r="O89" s="77">
        <v>140000</v>
      </c>
      <c r="P89" s="77"/>
      <c r="Q89" s="77">
        <v>140000</v>
      </c>
      <c r="R89" s="77">
        <v>140000</v>
      </c>
      <c r="S89" s="77">
        <v>140000</v>
      </c>
      <c r="U89" s="1" t="b">
        <f t="shared" si="1"/>
        <v>1</v>
      </c>
      <c r="V89" s="77">
        <v>140000</v>
      </c>
      <c r="W89" s="77">
        <v>140000</v>
      </c>
    </row>
    <row r="90" spans="1:23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/>
      <c r="M90" s="78">
        <v>3.6636136999999999E-2</v>
      </c>
      <c r="N90" s="78">
        <v>3.6636136999999999E-2</v>
      </c>
      <c r="O90" s="78">
        <v>3.6636136999999999E-2</v>
      </c>
      <c r="P90" s="78"/>
      <c r="Q90" s="78">
        <v>3.6636136999999999E-2</v>
      </c>
      <c r="R90" s="78">
        <v>3.6636136999999999E-2</v>
      </c>
      <c r="S90" s="78">
        <v>3.6636136999999999E-2</v>
      </c>
      <c r="U90" s="1" t="b">
        <f t="shared" si="1"/>
        <v>1</v>
      </c>
      <c r="V90" s="78">
        <v>3.6636136999999999E-2</v>
      </c>
      <c r="W90" s="78">
        <v>3.6636136999999999E-2</v>
      </c>
    </row>
    <row r="91" spans="1:23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/>
      <c r="M91" s="77">
        <v>4.4999999999999997E-3</v>
      </c>
      <c r="N91" s="77">
        <v>4.4999999999999997E-3</v>
      </c>
      <c r="O91" s="77">
        <v>4.4999999999999997E-3</v>
      </c>
      <c r="P91" s="77"/>
      <c r="Q91" s="77">
        <v>4.4999999999999997E-3</v>
      </c>
      <c r="R91" s="77">
        <v>4.4999999999999997E-3</v>
      </c>
      <c r="S91" s="77">
        <v>4.4999999999999997E-3</v>
      </c>
      <c r="U91" s="1" t="b">
        <f t="shared" si="1"/>
        <v>1</v>
      </c>
      <c r="V91" s="77">
        <v>4.4999999999999997E-3</v>
      </c>
      <c r="W91" s="77">
        <v>4.4999999999999997E-3</v>
      </c>
    </row>
    <row r="92" spans="1:23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/>
      <c r="M92" s="77">
        <v>0.05</v>
      </c>
      <c r="N92" s="77">
        <v>0.05</v>
      </c>
      <c r="O92" s="77">
        <v>0.05</v>
      </c>
      <c r="P92" s="77"/>
      <c r="Q92" s="77">
        <v>0.05</v>
      </c>
      <c r="R92" s="77">
        <v>0.05</v>
      </c>
      <c r="S92" s="77">
        <v>0.05</v>
      </c>
      <c r="U92" s="1" t="b">
        <f t="shared" si="1"/>
        <v>1</v>
      </c>
      <c r="V92" s="77">
        <v>0.05</v>
      </c>
      <c r="W92" s="77">
        <v>0.05</v>
      </c>
    </row>
    <row r="93" spans="1:23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/>
      <c r="M93" s="77">
        <v>6.0000000000000002E-6</v>
      </c>
      <c r="N93" s="77">
        <v>6.0000000000000002E-6</v>
      </c>
      <c r="O93" s="77">
        <v>6.0000000000000002E-6</v>
      </c>
      <c r="P93" s="77"/>
      <c r="Q93" s="77">
        <v>6.0000000000000002E-6</v>
      </c>
      <c r="R93" s="77">
        <v>6.0000000000000002E-6</v>
      </c>
      <c r="S93" s="77">
        <v>6.0000000000000002E-6</v>
      </c>
      <c r="U93" s="1" t="b">
        <f t="shared" si="1"/>
        <v>1</v>
      </c>
      <c r="V93" s="77">
        <v>6.0000000000000002E-6</v>
      </c>
      <c r="W93" s="77">
        <v>6.0000000000000002E-6</v>
      </c>
    </row>
    <row r="94" spans="1:23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/>
      <c r="M94" s="77">
        <v>1E-3</v>
      </c>
      <c r="N94" s="77">
        <v>1E-3</v>
      </c>
      <c r="O94" s="77">
        <v>1E-3</v>
      </c>
      <c r="P94" s="77"/>
      <c r="Q94" s="77">
        <v>0</v>
      </c>
      <c r="R94" s="77">
        <v>1E-3</v>
      </c>
      <c r="S94" s="77">
        <v>1E-3</v>
      </c>
      <c r="U94" s="1" t="b">
        <f t="shared" si="1"/>
        <v>1</v>
      </c>
      <c r="V94" s="77">
        <v>0</v>
      </c>
      <c r="W94" s="77">
        <v>0</v>
      </c>
    </row>
    <row r="95" spans="1:23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/>
      <c r="M95" s="77">
        <v>374999999.99999994</v>
      </c>
      <c r="N95" s="77">
        <v>374999999.99999994</v>
      </c>
      <c r="O95" s="77">
        <v>374999999.99999994</v>
      </c>
      <c r="P95" s="77"/>
      <c r="Q95" s="77">
        <v>374999999.99999994</v>
      </c>
      <c r="R95" s="77">
        <v>374999999.99999994</v>
      </c>
      <c r="S95" s="77">
        <v>374999999.99999994</v>
      </c>
      <c r="U95" s="1" t="b">
        <f t="shared" si="1"/>
        <v>1</v>
      </c>
      <c r="V95" s="77">
        <v>374999999.99999994</v>
      </c>
      <c r="W95" s="77">
        <v>374999999.99999994</v>
      </c>
    </row>
    <row r="96" spans="1:23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/>
      <c r="M96" s="78">
        <v>3.7037037037037038E-3</v>
      </c>
      <c r="N96" s="78">
        <v>3.7037037037037038E-3</v>
      </c>
      <c r="O96" s="78">
        <v>3.7037037037037038E-3</v>
      </c>
      <c r="P96" s="78"/>
      <c r="Q96" s="78">
        <v>0</v>
      </c>
      <c r="R96" s="78">
        <v>3.7037037037037038E-3</v>
      </c>
      <c r="S96" s="78">
        <v>3.7037037037037038E-3</v>
      </c>
      <c r="U96" s="1" t="b">
        <f t="shared" si="1"/>
        <v>1</v>
      </c>
      <c r="V96" s="78">
        <v>3.7037037037037038E-3</v>
      </c>
      <c r="W96" s="78">
        <v>3.7037037037037038E-3</v>
      </c>
    </row>
    <row r="97" spans="1:23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/>
      <c r="M97" s="77">
        <v>165600</v>
      </c>
      <c r="N97" s="77">
        <v>165600</v>
      </c>
      <c r="O97" s="77">
        <v>165600</v>
      </c>
      <c r="P97" s="77"/>
      <c r="Q97" s="77">
        <v>165600</v>
      </c>
      <c r="R97" s="77">
        <v>165600</v>
      </c>
      <c r="S97" s="77">
        <v>165600</v>
      </c>
      <c r="U97" s="1" t="b">
        <f t="shared" si="1"/>
        <v>1</v>
      </c>
      <c r="V97" s="77">
        <v>165600</v>
      </c>
      <c r="W97" s="77">
        <v>165600</v>
      </c>
    </row>
    <row r="98" spans="1:23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/>
      <c r="M98" s="77">
        <v>20</v>
      </c>
      <c r="N98" s="77">
        <v>20</v>
      </c>
      <c r="O98" s="77">
        <v>20</v>
      </c>
      <c r="P98" s="77"/>
      <c r="Q98" s="77">
        <v>20</v>
      </c>
      <c r="R98" s="77">
        <v>20</v>
      </c>
      <c r="S98" s="77">
        <v>20</v>
      </c>
      <c r="U98" s="1" t="b">
        <f t="shared" si="1"/>
        <v>1</v>
      </c>
      <c r="V98" s="77">
        <v>20</v>
      </c>
      <c r="W98" s="77">
        <v>20</v>
      </c>
    </row>
    <row r="99" spans="1:23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/>
      <c r="M99" s="77">
        <v>1</v>
      </c>
      <c r="N99" s="77">
        <v>1</v>
      </c>
      <c r="O99" s="77">
        <v>1</v>
      </c>
      <c r="P99" s="77"/>
      <c r="Q99" s="77">
        <v>1</v>
      </c>
      <c r="R99" s="77">
        <v>1</v>
      </c>
      <c r="S99" s="77">
        <v>1</v>
      </c>
      <c r="U99" s="1" t="b">
        <f t="shared" si="1"/>
        <v>1</v>
      </c>
      <c r="V99" s="77">
        <v>1</v>
      </c>
      <c r="W99" s="77">
        <v>1</v>
      </c>
    </row>
    <row r="100" spans="1:23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/>
      <c r="M100" s="77">
        <v>21</v>
      </c>
      <c r="N100" s="77">
        <v>21</v>
      </c>
      <c r="O100" s="77">
        <v>21</v>
      </c>
      <c r="P100" s="77"/>
      <c r="Q100" s="77">
        <v>21</v>
      </c>
      <c r="R100" s="77">
        <v>21</v>
      </c>
      <c r="S100" s="77">
        <v>21</v>
      </c>
      <c r="U100" s="1" t="b">
        <f t="shared" si="1"/>
        <v>1</v>
      </c>
      <c r="V100" s="77">
        <v>21</v>
      </c>
      <c r="W100" s="77">
        <v>21</v>
      </c>
    </row>
    <row r="101" spans="1:23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/>
      <c r="M101" s="77">
        <v>0.64</v>
      </c>
      <c r="N101" s="77">
        <v>0.64</v>
      </c>
      <c r="O101" s="77">
        <v>0.64</v>
      </c>
      <c r="P101" s="77"/>
      <c r="Q101" s="77">
        <v>0.64</v>
      </c>
      <c r="R101" s="77">
        <v>0.64</v>
      </c>
      <c r="S101" s="77">
        <v>0.64</v>
      </c>
      <c r="U101" s="1" t="b">
        <f t="shared" si="1"/>
        <v>1</v>
      </c>
      <c r="V101" s="77">
        <v>0.64</v>
      </c>
      <c r="W101" s="77">
        <v>0.64</v>
      </c>
    </row>
    <row r="102" spans="1:23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/>
      <c r="M102" s="77">
        <v>8</v>
      </c>
      <c r="N102" s="77">
        <v>8</v>
      </c>
      <c r="O102" s="77">
        <v>8</v>
      </c>
      <c r="P102" s="77"/>
      <c r="Q102" s="77">
        <v>8</v>
      </c>
      <c r="R102" s="77">
        <v>8</v>
      </c>
      <c r="S102" s="77">
        <v>8</v>
      </c>
      <c r="U102" s="1" t="b">
        <f t="shared" si="1"/>
        <v>1</v>
      </c>
      <c r="V102" s="77">
        <v>8</v>
      </c>
      <c r="W102" s="77">
        <v>8</v>
      </c>
    </row>
    <row r="103" spans="1:23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/>
      <c r="M103" s="77">
        <v>10</v>
      </c>
      <c r="N103" s="77">
        <v>10</v>
      </c>
      <c r="O103" s="77">
        <v>10</v>
      </c>
      <c r="P103" s="77"/>
      <c r="Q103" s="77">
        <v>10</v>
      </c>
      <c r="R103" s="77">
        <v>10</v>
      </c>
      <c r="S103" s="77">
        <v>10</v>
      </c>
      <c r="U103" s="1" t="b">
        <f t="shared" si="1"/>
        <v>1</v>
      </c>
      <c r="V103" s="77">
        <v>10</v>
      </c>
      <c r="W103" s="77">
        <v>10</v>
      </c>
    </row>
    <row r="104" spans="1:23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/>
      <c r="M104" s="77">
        <v>8</v>
      </c>
      <c r="N104" s="77">
        <v>8</v>
      </c>
      <c r="O104" s="77">
        <v>8</v>
      </c>
      <c r="P104" s="77"/>
      <c r="Q104" s="77">
        <v>8</v>
      </c>
      <c r="R104" s="77">
        <v>8</v>
      </c>
      <c r="S104" s="77">
        <v>8</v>
      </c>
      <c r="U104" s="1" t="b">
        <f t="shared" si="1"/>
        <v>1</v>
      </c>
      <c r="V104" s="77">
        <v>8</v>
      </c>
      <c r="W104" s="77">
        <v>8</v>
      </c>
    </row>
    <row r="105" spans="1:23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/>
      <c r="M105" s="77">
        <v>1</v>
      </c>
      <c r="N105" s="77">
        <v>1</v>
      </c>
      <c r="O105" s="77">
        <v>1</v>
      </c>
      <c r="P105" s="77"/>
      <c r="Q105" s="77">
        <v>1</v>
      </c>
      <c r="R105" s="77">
        <v>1</v>
      </c>
      <c r="S105" s="77">
        <v>1</v>
      </c>
      <c r="U105" s="1" t="b">
        <f t="shared" si="1"/>
        <v>1</v>
      </c>
      <c r="V105" s="77">
        <v>1</v>
      </c>
      <c r="W105" s="77">
        <v>1</v>
      </c>
    </row>
    <row r="106" spans="1:23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/>
      <c r="M106" s="77">
        <v>0.5</v>
      </c>
      <c r="N106" s="77">
        <v>0.5</v>
      </c>
      <c r="O106" s="77">
        <v>0.5</v>
      </c>
      <c r="P106" s="77"/>
      <c r="Q106" s="77">
        <v>0.5</v>
      </c>
      <c r="R106" s="77">
        <v>0.5</v>
      </c>
      <c r="S106" s="77">
        <v>0.5</v>
      </c>
      <c r="U106" s="1" t="b">
        <f t="shared" si="1"/>
        <v>1</v>
      </c>
      <c r="V106" s="77">
        <v>0.5</v>
      </c>
      <c r="W106" s="77">
        <v>0.5</v>
      </c>
    </row>
    <row r="107" spans="1:23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M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/>
      <c r="M107" s="58">
        <f t="shared" si="2"/>
        <v>1</v>
      </c>
      <c r="N107" s="58">
        <f t="shared" ref="N107:O107" si="4">N105</f>
        <v>1</v>
      </c>
      <c r="O107" s="58">
        <f t="shared" si="4"/>
        <v>1</v>
      </c>
      <c r="P107" s="58"/>
      <c r="Q107" s="58">
        <f t="shared" ref="Q107" si="5">Q105</f>
        <v>1</v>
      </c>
      <c r="R107" s="58">
        <f t="shared" ref="R107" si="6">R105</f>
        <v>1</v>
      </c>
      <c r="S107" s="58">
        <f t="shared" ref="S107" si="7">S105</f>
        <v>1</v>
      </c>
      <c r="U107" s="1" t="b">
        <f t="shared" si="1"/>
        <v>1</v>
      </c>
      <c r="V107" s="58">
        <v>1</v>
      </c>
      <c r="W107" s="58">
        <v>1</v>
      </c>
    </row>
    <row r="108" spans="1:23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S108" si="8">150*H105</f>
        <v>150</v>
      </c>
      <c r="I108" s="58">
        <f t="shared" si="8"/>
        <v>150</v>
      </c>
      <c r="J108" s="58">
        <f t="shared" si="8"/>
        <v>150</v>
      </c>
      <c r="K108" s="58">
        <f t="shared" si="8"/>
        <v>150</v>
      </c>
      <c r="L108" s="58"/>
      <c r="M108" s="58">
        <f t="shared" si="8"/>
        <v>150</v>
      </c>
      <c r="N108" s="58">
        <f t="shared" ref="N108:O108" si="9">150*N105</f>
        <v>150</v>
      </c>
      <c r="O108" s="58">
        <f t="shared" si="9"/>
        <v>150</v>
      </c>
      <c r="P108" s="58"/>
      <c r="Q108" s="58">
        <f t="shared" ref="Q108" si="10">150*Q105</f>
        <v>150</v>
      </c>
      <c r="R108" s="58">
        <f t="shared" ref="R108" si="11">150*R105</f>
        <v>150</v>
      </c>
      <c r="S108" s="58">
        <f t="shared" si="8"/>
        <v>150</v>
      </c>
      <c r="U108" s="1" t="b">
        <f t="shared" si="1"/>
        <v>1</v>
      </c>
      <c r="V108" s="58">
        <v>150</v>
      </c>
      <c r="W108" s="58">
        <v>150</v>
      </c>
    </row>
    <row r="109" spans="1:23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M109" si="12">G100</f>
        <v>21</v>
      </c>
      <c r="H109" s="58">
        <f t="shared" si="12"/>
        <v>21</v>
      </c>
      <c r="I109" s="58">
        <f t="shared" si="12"/>
        <v>21</v>
      </c>
      <c r="J109" s="58">
        <f t="shared" si="12"/>
        <v>21</v>
      </c>
      <c r="K109" s="58">
        <f t="shared" ref="K109" si="13">K100</f>
        <v>21</v>
      </c>
      <c r="L109" s="58"/>
      <c r="M109" s="58">
        <f t="shared" si="12"/>
        <v>21</v>
      </c>
      <c r="N109" s="58">
        <f t="shared" ref="N109:O109" si="14">N100</f>
        <v>21</v>
      </c>
      <c r="O109" s="58">
        <f t="shared" si="14"/>
        <v>21</v>
      </c>
      <c r="P109" s="58"/>
      <c r="Q109" s="58">
        <f t="shared" ref="Q109" si="15">Q100</f>
        <v>21</v>
      </c>
      <c r="R109" s="58">
        <f t="shared" ref="R109" si="16">R100</f>
        <v>21</v>
      </c>
      <c r="S109" s="58">
        <f t="shared" ref="S109" si="17">S100</f>
        <v>21</v>
      </c>
      <c r="U109" s="1" t="b">
        <f t="shared" si="1"/>
        <v>1</v>
      </c>
      <c r="V109" s="58">
        <v>21</v>
      </c>
      <c r="W109" s="58">
        <v>21</v>
      </c>
    </row>
    <row r="110" spans="1:23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S110" si="18">70*H100</f>
        <v>1470</v>
      </c>
      <c r="I110" s="58">
        <f t="shared" si="18"/>
        <v>1470</v>
      </c>
      <c r="J110" s="58">
        <f t="shared" si="18"/>
        <v>1470</v>
      </c>
      <c r="K110" s="58">
        <f t="shared" si="18"/>
        <v>1470</v>
      </c>
      <c r="L110" s="58"/>
      <c r="M110" s="58">
        <f t="shared" si="18"/>
        <v>1470</v>
      </c>
      <c r="N110" s="58">
        <f t="shared" ref="N110:O110" si="19">70*N100</f>
        <v>1470</v>
      </c>
      <c r="O110" s="58">
        <f t="shared" si="19"/>
        <v>1470</v>
      </c>
      <c r="P110" s="58"/>
      <c r="Q110" s="58">
        <f t="shared" ref="Q110" si="20">70*Q100</f>
        <v>1470</v>
      </c>
      <c r="R110" s="58">
        <f t="shared" ref="R110" si="21">70*R100</f>
        <v>1470</v>
      </c>
      <c r="S110" s="58">
        <f t="shared" si="18"/>
        <v>1470</v>
      </c>
      <c r="U110" s="1" t="b">
        <f t="shared" si="1"/>
        <v>1</v>
      </c>
      <c r="V110" s="58">
        <v>1470</v>
      </c>
      <c r="W110" s="58">
        <v>1470</v>
      </c>
    </row>
    <row r="111" spans="1:23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/>
      <c r="M111" s="77">
        <v>0</v>
      </c>
      <c r="N111" s="77">
        <v>0</v>
      </c>
      <c r="O111" s="77">
        <v>0</v>
      </c>
      <c r="P111" s="77"/>
      <c r="Q111" s="77">
        <v>0</v>
      </c>
      <c r="R111" s="77">
        <v>0</v>
      </c>
      <c r="S111" s="77">
        <v>0</v>
      </c>
      <c r="U111" s="1" t="b">
        <f t="shared" si="1"/>
        <v>1</v>
      </c>
      <c r="V111" s="77">
        <v>0</v>
      </c>
      <c r="W111" s="77">
        <v>0</v>
      </c>
    </row>
    <row r="112" spans="1:23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/>
      <c r="M112" s="82">
        <v>1589759.9999999998</v>
      </c>
      <c r="N112" s="82">
        <v>1589759.9999999998</v>
      </c>
      <c r="O112" s="82">
        <v>1589759.9999999998</v>
      </c>
      <c r="P112" s="82"/>
      <c r="Q112" s="82">
        <v>1589759.9999999998</v>
      </c>
      <c r="R112" s="82">
        <v>1589759.9999999998</v>
      </c>
      <c r="S112" s="82">
        <v>1589759.9999999998</v>
      </c>
      <c r="U112" s="1" t="b">
        <f t="shared" si="1"/>
        <v>1</v>
      </c>
      <c r="V112" s="82">
        <v>1589759.9999999998</v>
      </c>
      <c r="W112" s="82">
        <v>1589759.9999999998</v>
      </c>
    </row>
    <row r="113" spans="1:23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/>
      <c r="Q113" s="82">
        <v>6171428.5714285718</v>
      </c>
      <c r="R113" s="82">
        <v>6171428.5714285718</v>
      </c>
      <c r="S113" s="82">
        <v>6171428.5714285718</v>
      </c>
      <c r="U113" s="1" t="b">
        <f t="shared" si="1"/>
        <v>1</v>
      </c>
      <c r="V113" s="82">
        <v>6171428.5714285718</v>
      </c>
      <c r="W113" s="82">
        <v>6171428.5714285718</v>
      </c>
    </row>
    <row r="114" spans="1:23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/>
      <c r="M114" s="82">
        <v>6171428.5714285718</v>
      </c>
      <c r="N114" s="82">
        <v>6171428.5714285718</v>
      </c>
      <c r="O114" s="82">
        <v>6171428.5714285718</v>
      </c>
      <c r="P114" s="82"/>
      <c r="Q114" s="82">
        <v>6171428.5714285718</v>
      </c>
      <c r="R114" s="82">
        <v>6171428.5714285718</v>
      </c>
      <c r="S114" s="82">
        <v>6171428.5714285718</v>
      </c>
      <c r="U114" s="1" t="b">
        <f t="shared" si="1"/>
        <v>1</v>
      </c>
      <c r="V114" s="82">
        <v>6171428.5714285718</v>
      </c>
      <c r="W114" s="82">
        <v>6171428.5714285718</v>
      </c>
    </row>
    <row r="115" spans="1:23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/>
      <c r="M115" s="82">
        <v>100</v>
      </c>
      <c r="N115" s="82">
        <v>100</v>
      </c>
      <c r="O115" s="82">
        <v>100</v>
      </c>
      <c r="P115" s="82"/>
      <c r="Q115" s="82">
        <v>100</v>
      </c>
      <c r="R115" s="82">
        <v>100</v>
      </c>
      <c r="S115" s="82">
        <v>100</v>
      </c>
      <c r="U115" s="1" t="b">
        <f t="shared" si="1"/>
        <v>1</v>
      </c>
      <c r="V115" s="82">
        <v>100</v>
      </c>
      <c r="W115" s="82">
        <v>100</v>
      </c>
    </row>
    <row r="116" spans="1:23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S116" si="22">0.1 * 3.25 * (60*60*24)</f>
        <v>28080</v>
      </c>
      <c r="I116" s="67">
        <f t="shared" si="22"/>
        <v>28080</v>
      </c>
      <c r="J116" s="67">
        <f t="shared" si="22"/>
        <v>28080</v>
      </c>
      <c r="K116" s="67">
        <f t="shared" si="22"/>
        <v>28080</v>
      </c>
      <c r="L116" s="67"/>
      <c r="M116" s="67">
        <f>3.25 * (60*60*24)</f>
        <v>280800</v>
      </c>
      <c r="N116" s="67">
        <f t="shared" ref="N116:O116" si="23">3.25 * (60*60*24)</f>
        <v>280800</v>
      </c>
      <c r="O116" s="67">
        <f t="shared" si="23"/>
        <v>280800</v>
      </c>
      <c r="P116" s="67"/>
      <c r="Q116" s="67">
        <f t="shared" si="22"/>
        <v>28080</v>
      </c>
      <c r="R116" s="67">
        <f t="shared" si="22"/>
        <v>28080</v>
      </c>
      <c r="S116" s="67">
        <f t="shared" si="22"/>
        <v>28080</v>
      </c>
      <c r="U116" s="1" t="b">
        <f t="shared" si="1"/>
        <v>0</v>
      </c>
      <c r="V116" s="67">
        <v>28080</v>
      </c>
      <c r="W116" s="67">
        <v>28080</v>
      </c>
    </row>
    <row r="117" spans="1:23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S117" si="24">1.11 / 10</f>
        <v>0.11100000000000002</v>
      </c>
      <c r="I117" s="67">
        <f t="shared" si="24"/>
        <v>0.11100000000000002</v>
      </c>
      <c r="J117" s="67">
        <f t="shared" si="24"/>
        <v>0.11100000000000002</v>
      </c>
      <c r="K117" s="67">
        <f t="shared" si="24"/>
        <v>0.11100000000000002</v>
      </c>
      <c r="L117" s="67"/>
      <c r="M117" s="67">
        <f>1.11 / (60 * 60 * 24)</f>
        <v>1.2847222222222224E-5</v>
      </c>
      <c r="N117" s="67">
        <f t="shared" ref="N117:O117" si="25">1.11 / (60 * 60 * 24)</f>
        <v>1.2847222222222224E-5</v>
      </c>
      <c r="O117" s="67">
        <f t="shared" si="25"/>
        <v>1.2847222222222224E-5</v>
      </c>
      <c r="P117" s="67"/>
      <c r="Q117" s="67">
        <f t="shared" si="24"/>
        <v>0.11100000000000002</v>
      </c>
      <c r="R117" s="67">
        <f t="shared" si="24"/>
        <v>0.11100000000000002</v>
      </c>
      <c r="S117" s="67">
        <f t="shared" si="24"/>
        <v>0.11100000000000002</v>
      </c>
      <c r="U117" s="1" t="b">
        <f t="shared" si="1"/>
        <v>0</v>
      </c>
      <c r="V117" s="67">
        <v>0.11100000000000002</v>
      </c>
      <c r="W117" s="67">
        <v>0.11100000000000002</v>
      </c>
    </row>
    <row r="118" spans="1:23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/>
      <c r="M118" s="82">
        <v>90</v>
      </c>
      <c r="N118" s="82">
        <v>90</v>
      </c>
      <c r="O118" s="82">
        <v>90</v>
      </c>
      <c r="P118" s="82"/>
      <c r="Q118" s="82">
        <v>100</v>
      </c>
      <c r="R118" s="82">
        <v>100</v>
      </c>
      <c r="S118" s="82">
        <v>100</v>
      </c>
      <c r="U118" s="1" t="b">
        <f t="shared" si="1"/>
        <v>0</v>
      </c>
      <c r="V118" s="82">
        <v>100</v>
      </c>
      <c r="W118" s="82">
        <v>100</v>
      </c>
    </row>
    <row r="119" spans="1:23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S119" si="26">5.32 * (60*60*24)</f>
        <v>459648</v>
      </c>
      <c r="H119" s="67">
        <f t="shared" si="26"/>
        <v>459648</v>
      </c>
      <c r="I119" s="67">
        <f t="shared" si="26"/>
        <v>459648</v>
      </c>
      <c r="J119" s="67">
        <f t="shared" si="26"/>
        <v>459648</v>
      </c>
      <c r="K119" s="67">
        <f t="shared" si="26"/>
        <v>459648</v>
      </c>
      <c r="L119" s="67"/>
      <c r="M119" s="67">
        <f t="shared" si="26"/>
        <v>459648</v>
      </c>
      <c r="N119" s="67">
        <f t="shared" si="26"/>
        <v>459648</v>
      </c>
      <c r="O119" s="67">
        <f t="shared" si="26"/>
        <v>459648</v>
      </c>
      <c r="P119" s="67"/>
      <c r="Q119" s="67">
        <f t="shared" si="26"/>
        <v>459648</v>
      </c>
      <c r="R119" s="67">
        <f t="shared" si="26"/>
        <v>459648</v>
      </c>
      <c r="S119" s="67">
        <f t="shared" si="26"/>
        <v>459648</v>
      </c>
      <c r="U119" s="1" t="b">
        <f t="shared" si="1"/>
        <v>1</v>
      </c>
      <c r="V119" s="67">
        <v>459648</v>
      </c>
      <c r="W119" s="67">
        <v>459648</v>
      </c>
    </row>
    <row r="120" spans="1:23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S120" si="27">1.11/8</f>
        <v>0.13875000000000001</v>
      </c>
      <c r="I120" s="67">
        <f t="shared" si="27"/>
        <v>0.13875000000000001</v>
      </c>
      <c r="J120" s="67">
        <f t="shared" si="27"/>
        <v>0.13875000000000001</v>
      </c>
      <c r="K120" s="67">
        <f t="shared" si="27"/>
        <v>0.13875000000000001</v>
      </c>
      <c r="L120" s="67"/>
      <c r="M120" s="67">
        <f>1.11 / (60 * 60 * 24)</f>
        <v>1.2847222222222224E-5</v>
      </c>
      <c r="N120" s="67">
        <f>1.11 / (60 * 60 * 24)</f>
        <v>1.2847222222222224E-5</v>
      </c>
      <c r="O120" s="67">
        <f>1.11 / (60 * 60 * 24)</f>
        <v>1.2847222222222224E-5</v>
      </c>
      <c r="P120" s="67"/>
      <c r="Q120" s="67">
        <f t="shared" si="27"/>
        <v>0.13875000000000001</v>
      </c>
      <c r="R120" s="67">
        <f t="shared" si="27"/>
        <v>0.13875000000000001</v>
      </c>
      <c r="S120" s="67">
        <f t="shared" si="27"/>
        <v>0.13875000000000001</v>
      </c>
      <c r="U120" s="1" t="b">
        <f t="shared" si="1"/>
        <v>0</v>
      </c>
      <c r="V120" s="67">
        <v>0.13875000000000001</v>
      </c>
      <c r="W120" s="67">
        <v>0.13875000000000001</v>
      </c>
    </row>
    <row r="121" spans="1:23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/>
      <c r="M121" s="82">
        <v>21600</v>
      </c>
      <c r="N121" s="82">
        <v>21600</v>
      </c>
      <c r="O121" s="82">
        <v>21600</v>
      </c>
      <c r="P121" s="82"/>
      <c r="Q121" s="82">
        <v>21600</v>
      </c>
      <c r="R121" s="82">
        <v>21600</v>
      </c>
      <c r="S121" s="82">
        <v>21600</v>
      </c>
      <c r="U121" s="1" t="b">
        <f t="shared" si="1"/>
        <v>1</v>
      </c>
      <c r="V121" s="82">
        <v>21600</v>
      </c>
      <c r="W121" s="82">
        <v>21600</v>
      </c>
    </row>
    <row r="122" spans="1:23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/>
      <c r="M122" s="88">
        <v>43200</v>
      </c>
      <c r="N122" s="88">
        <v>43200</v>
      </c>
      <c r="O122" s="88">
        <v>43200</v>
      </c>
      <c r="P122" s="88"/>
      <c r="Q122" s="88">
        <v>43200</v>
      </c>
      <c r="R122" s="88">
        <v>43200</v>
      </c>
      <c r="S122" s="88">
        <v>43200</v>
      </c>
      <c r="U122" s="1" t="b">
        <f t="shared" si="1"/>
        <v>1</v>
      </c>
      <c r="V122" s="88">
        <v>43200</v>
      </c>
      <c r="W122" s="88">
        <v>43200</v>
      </c>
    </row>
    <row r="123" spans="1:23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/>
      <c r="M123" s="77">
        <v>0.8</v>
      </c>
      <c r="N123" s="77">
        <v>0.8</v>
      </c>
      <c r="O123" s="77">
        <v>0.8</v>
      </c>
      <c r="P123" s="77"/>
      <c r="Q123" s="77">
        <v>0.8</v>
      </c>
      <c r="R123" s="77">
        <v>0.8</v>
      </c>
      <c r="S123" s="77">
        <v>0.8</v>
      </c>
      <c r="U123" s="1" t="b">
        <f t="shared" si="1"/>
        <v>1</v>
      </c>
      <c r="V123" s="77">
        <v>0.8</v>
      </c>
      <c r="W123" s="77">
        <v>0.8</v>
      </c>
    </row>
    <row r="124" spans="1:23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/>
      <c r="M124" s="78">
        <v>2.0833333333333335E-4</v>
      </c>
      <c r="N124" s="78">
        <v>2.0833333333333335E-4</v>
      </c>
      <c r="O124" s="78">
        <v>2.0833333333333335E-4</v>
      </c>
      <c r="P124" s="78"/>
      <c r="Q124" s="78">
        <v>2.0833333333333335E-4</v>
      </c>
      <c r="R124" s="78">
        <v>2.0833333333333335E-4</v>
      </c>
      <c r="S124" s="78">
        <v>2.0833333333333335E-4</v>
      </c>
      <c r="U124" s="1" t="b">
        <f t="shared" si="1"/>
        <v>1</v>
      </c>
      <c r="V124" s="78">
        <v>2.0833333333333335E-4</v>
      </c>
      <c r="W124" s="78">
        <v>2.0833333333333335E-4</v>
      </c>
    </row>
    <row r="125" spans="1:23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/>
      <c r="M125" s="77">
        <v>5.7899999999999998E-7</v>
      </c>
      <c r="N125" s="77">
        <v>5.7899999999999998E-7</v>
      </c>
      <c r="O125" s="77">
        <v>5.7899999999999998E-7</v>
      </c>
      <c r="P125" s="77"/>
      <c r="Q125" s="77">
        <v>5.7899999999999998E-7</v>
      </c>
      <c r="R125" s="77">
        <v>5.7899999999999998E-7</v>
      </c>
      <c r="S125" s="77">
        <v>5.7899999999999998E-7</v>
      </c>
      <c r="U125" s="1" t="b">
        <f t="shared" si="1"/>
        <v>1</v>
      </c>
      <c r="V125" s="77">
        <v>5.7899999999999998E-7</v>
      </c>
      <c r="W125" s="77">
        <v>5.7899999999999998E-7</v>
      </c>
    </row>
    <row r="126" spans="1:23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/>
      <c r="Q126" s="78">
        <v>2.0833333333333335E-4</v>
      </c>
      <c r="R126" s="78">
        <v>2.0833333333333335E-4</v>
      </c>
      <c r="S126" s="78">
        <v>2.0833333333333335E-4</v>
      </c>
      <c r="U126" s="1" t="b">
        <f t="shared" si="1"/>
        <v>1</v>
      </c>
      <c r="V126" s="78">
        <v>2.0833333333333335E-4</v>
      </c>
      <c r="W126" s="78">
        <v>2.0833333333333335E-4</v>
      </c>
    </row>
    <row r="127" spans="1:23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/>
      <c r="M127" s="78">
        <v>0</v>
      </c>
      <c r="N127" s="78">
        <v>0</v>
      </c>
      <c r="O127" s="78">
        <v>0</v>
      </c>
      <c r="P127" s="78"/>
      <c r="Q127" s="78">
        <v>0</v>
      </c>
      <c r="R127" s="78">
        <v>0</v>
      </c>
      <c r="S127" s="78">
        <v>0</v>
      </c>
      <c r="U127" s="1" t="b">
        <f t="shared" si="1"/>
        <v>1</v>
      </c>
      <c r="V127" s="78">
        <v>0</v>
      </c>
      <c r="W127" s="78">
        <v>0</v>
      </c>
    </row>
    <row r="128" spans="1:23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/>
      <c r="M128" s="78">
        <v>0</v>
      </c>
      <c r="N128" s="78">
        <v>0</v>
      </c>
      <c r="O128" s="78">
        <v>0</v>
      </c>
      <c r="P128" s="78"/>
      <c r="Q128" s="78">
        <v>0</v>
      </c>
      <c r="R128" s="78">
        <v>0</v>
      </c>
      <c r="S128" s="78">
        <v>0</v>
      </c>
      <c r="U128" s="1" t="b">
        <f t="shared" si="1"/>
        <v>1</v>
      </c>
      <c r="V128" s="78">
        <v>0</v>
      </c>
      <c r="W128" s="78">
        <v>0</v>
      </c>
    </row>
    <row r="129" spans="1:23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W129" si="28">0.0000002*3</f>
        <v>5.9999999999999997E-7</v>
      </c>
      <c r="J129" s="83">
        <f t="shared" si="28"/>
        <v>5.9999999999999997E-7</v>
      </c>
      <c r="K129" s="83">
        <f>0.0000002 * 2 / 10</f>
        <v>4.0000000000000001E-8</v>
      </c>
      <c r="L129" s="83"/>
      <c r="M129" s="83">
        <f>0.0000002 * 2 / 1000</f>
        <v>3.9999999999999996E-10</v>
      </c>
      <c r="N129" s="83">
        <f>0.0000002 * 2 / 1000</f>
        <v>3.9999999999999996E-10</v>
      </c>
      <c r="O129" s="83">
        <f>0.0000002 * 2 / 1000</f>
        <v>3.9999999999999996E-10</v>
      </c>
      <c r="P129" s="83"/>
      <c r="Q129" s="83">
        <f>0.0000002 * 2 / 1000</f>
        <v>3.9999999999999996E-10</v>
      </c>
      <c r="R129" s="83">
        <f>0.0000002 * 2 / 1000</f>
        <v>3.9999999999999996E-10</v>
      </c>
      <c r="S129" s="83">
        <v>0</v>
      </c>
      <c r="T129" s="83">
        <f>0.0000002 * 2 / 10</f>
        <v>4.0000000000000001E-8</v>
      </c>
      <c r="U129" s="1" t="b">
        <f t="shared" si="1"/>
        <v>0</v>
      </c>
      <c r="V129" s="83">
        <f t="shared" si="28"/>
        <v>5.9999999999999997E-7</v>
      </c>
      <c r="W129" s="83">
        <f t="shared" si="28"/>
        <v>5.9999999999999997E-7</v>
      </c>
    </row>
    <row r="130" spans="1:23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W130" si="29">1000 * 0.000001 / 12</f>
        <v>8.3333333333333331E-5</v>
      </c>
      <c r="I130" s="83">
        <f t="shared" si="29"/>
        <v>8.3333333333333331E-5</v>
      </c>
      <c r="J130" s="83">
        <f t="shared" si="29"/>
        <v>8.3333333333333331E-5</v>
      </c>
      <c r="K130" s="83">
        <f t="shared" si="29"/>
        <v>8.3333333333333331E-5</v>
      </c>
      <c r="L130" s="83"/>
      <c r="M130" s="83">
        <f t="shared" si="29"/>
        <v>8.3333333333333331E-5</v>
      </c>
      <c r="N130" s="83">
        <f t="shared" si="29"/>
        <v>8.3333333333333331E-5</v>
      </c>
      <c r="O130" s="83">
        <f t="shared" si="29"/>
        <v>8.3333333333333331E-5</v>
      </c>
      <c r="P130" s="83"/>
      <c r="Q130" s="83">
        <f t="shared" si="29"/>
        <v>8.3333333333333331E-5</v>
      </c>
      <c r="R130" s="83">
        <f t="shared" si="29"/>
        <v>8.3333333333333331E-5</v>
      </c>
      <c r="S130" s="83">
        <f t="shared" si="29"/>
        <v>8.3333333333333331E-5</v>
      </c>
      <c r="U130" s="1" t="b">
        <f t="shared" si="1"/>
        <v>1</v>
      </c>
      <c r="V130" s="83">
        <f t="shared" si="29"/>
        <v>8.3333333333333331E-5</v>
      </c>
      <c r="W130" s="83">
        <f t="shared" si="29"/>
        <v>8.3333333333333331E-5</v>
      </c>
    </row>
    <row r="131" spans="1:23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/>
      <c r="M131" s="89" t="s">
        <v>533</v>
      </c>
      <c r="N131" s="89" t="s">
        <v>533</v>
      </c>
      <c r="O131" s="89" t="s">
        <v>533</v>
      </c>
      <c r="P131" s="89"/>
      <c r="Q131" s="89" t="s">
        <v>533</v>
      </c>
      <c r="R131" s="89" t="s">
        <v>533</v>
      </c>
      <c r="S131" s="89" t="s">
        <v>533</v>
      </c>
      <c r="U131" s="1" t="b">
        <f t="shared" ref="U131:U194" si="30">M131=S131</f>
        <v>1</v>
      </c>
      <c r="V131" s="89" t="s">
        <v>533</v>
      </c>
      <c r="W131" s="89" t="s">
        <v>533</v>
      </c>
    </row>
    <row r="132" spans="1:23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/>
      <c r="M132" s="83">
        <f>0.0005 / 10</f>
        <v>5.0000000000000002E-5</v>
      </c>
      <c r="N132" s="83">
        <f>0.0005 / 10</f>
        <v>5.0000000000000002E-5</v>
      </c>
      <c r="O132" s="83">
        <f>0.0005 / 10</f>
        <v>5.0000000000000002E-5</v>
      </c>
      <c r="P132" s="83"/>
      <c r="Q132" s="83">
        <f>0.0005 / 10</f>
        <v>5.0000000000000002E-5</v>
      </c>
      <c r="R132" s="83">
        <f>0.0005 / 10</f>
        <v>5.0000000000000002E-5</v>
      </c>
      <c r="S132" s="83">
        <f>0.0005</f>
        <v>5.0000000000000001E-4</v>
      </c>
      <c r="T132" s="83">
        <f>0.0005 * 1.2</f>
        <v>5.9999999999999995E-4</v>
      </c>
      <c r="U132" s="1" t="b">
        <f t="shared" si="30"/>
        <v>0</v>
      </c>
      <c r="V132" s="83">
        <v>5.0000000000000001E-4</v>
      </c>
      <c r="W132" s="83">
        <v>5.0000000000000001E-4</v>
      </c>
    </row>
    <row r="133" spans="1:23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/>
      <c r="M133" s="83">
        <v>4.9999999999999999E-13</v>
      </c>
      <c r="N133" s="83">
        <v>4.9999999999999999E-13</v>
      </c>
      <c r="O133" s="83">
        <v>4.9999999999999999E-13</v>
      </c>
      <c r="P133" s="83"/>
      <c r="Q133" s="83">
        <v>4.9999999999999999E-13</v>
      </c>
      <c r="R133" s="83">
        <v>4.9999999999999999E-13</v>
      </c>
      <c r="S133" s="83">
        <v>4.9999999999999999E-13</v>
      </c>
      <c r="U133" s="1" t="b">
        <f t="shared" si="30"/>
        <v>1</v>
      </c>
      <c r="V133" s="83">
        <v>4.9999999999999999E-13</v>
      </c>
      <c r="W133" s="83">
        <v>4.9999999999999999E-13</v>
      </c>
    </row>
    <row r="134" spans="1:23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/>
      <c r="M134" s="77">
        <v>10</v>
      </c>
      <c r="N134" s="77">
        <v>10</v>
      </c>
      <c r="O134" s="77">
        <v>10</v>
      </c>
      <c r="P134" s="77"/>
      <c r="Q134" s="77">
        <v>10</v>
      </c>
      <c r="R134" s="77">
        <v>10</v>
      </c>
      <c r="S134" s="77">
        <v>10</v>
      </c>
      <c r="U134" s="1" t="b">
        <f t="shared" si="30"/>
        <v>1</v>
      </c>
      <c r="V134" s="77">
        <v>10</v>
      </c>
      <c r="W134" s="77">
        <v>10</v>
      </c>
    </row>
    <row r="135" spans="1:23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/>
      <c r="M135" s="77">
        <v>-0.04</v>
      </c>
      <c r="N135" s="77">
        <v>-0.04</v>
      </c>
      <c r="O135" s="77">
        <v>-0.04</v>
      </c>
      <c r="P135" s="77"/>
      <c r="Q135" s="77">
        <v>-0.04</v>
      </c>
      <c r="R135" s="77">
        <v>-0.04</v>
      </c>
      <c r="S135" s="77">
        <v>-0.04</v>
      </c>
      <c r="U135" s="1" t="b">
        <f t="shared" si="30"/>
        <v>1</v>
      </c>
      <c r="V135" s="77">
        <v>-0.04</v>
      </c>
      <c r="W135" s="77">
        <v>-0.04</v>
      </c>
    </row>
    <row r="136" spans="1:23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/>
      <c r="M136" s="77">
        <v>2.9</v>
      </c>
      <c r="N136" s="77">
        <v>2.9</v>
      </c>
      <c r="O136" s="77">
        <v>2.9</v>
      </c>
      <c r="P136" s="77"/>
      <c r="Q136" s="77">
        <v>2.9</v>
      </c>
      <c r="R136" s="77">
        <v>2.9</v>
      </c>
      <c r="S136" s="77">
        <v>2.9</v>
      </c>
      <c r="U136" s="1" t="b">
        <f t="shared" si="30"/>
        <v>1</v>
      </c>
      <c r="V136" s="77">
        <v>2.9</v>
      </c>
      <c r="W136" s="77">
        <v>2.9</v>
      </c>
    </row>
    <row r="137" spans="1:23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/>
      <c r="M137" s="77">
        <v>1</v>
      </c>
      <c r="N137" s="77">
        <v>1</v>
      </c>
      <c r="O137" s="77">
        <v>1</v>
      </c>
      <c r="P137" s="77"/>
      <c r="Q137" s="77">
        <v>1</v>
      </c>
      <c r="R137" s="77">
        <v>1</v>
      </c>
      <c r="S137" s="77">
        <v>1</v>
      </c>
      <c r="U137" s="1" t="b">
        <f t="shared" si="30"/>
        <v>1</v>
      </c>
      <c r="V137" s="77">
        <v>1</v>
      </c>
      <c r="W137" s="77">
        <v>1</v>
      </c>
    </row>
    <row r="138" spans="1:23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/>
      <c r="M138" s="80">
        <f>0.0000002 * 2 / 10</f>
        <v>4.0000000000000001E-8</v>
      </c>
      <c r="N138" s="80">
        <f>0.0000002 * 2 / 10</f>
        <v>4.0000000000000001E-8</v>
      </c>
      <c r="O138" s="80">
        <f>0.0000002 * 2 / 10</f>
        <v>4.0000000000000001E-8</v>
      </c>
      <c r="P138" s="80"/>
      <c r="Q138" s="80">
        <f>0.0000002 * 2 / 10</f>
        <v>4.0000000000000001E-8</v>
      </c>
      <c r="R138" s="80">
        <f>0.0000002 * 2 / 10</f>
        <v>4.0000000000000001E-8</v>
      </c>
      <c r="S138" s="80">
        <v>1.9999999999999999E-7</v>
      </c>
      <c r="T138" s="80">
        <f>0.0000002 * 2 / 10</f>
        <v>4.0000000000000001E-8</v>
      </c>
      <c r="U138" s="1" t="b">
        <f t="shared" si="30"/>
        <v>0</v>
      </c>
      <c r="V138" s="80">
        <v>1.9999999999999999E-7</v>
      </c>
      <c r="W138" s="80">
        <v>1.9999999999999999E-7</v>
      </c>
    </row>
    <row r="139" spans="1:23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/>
      <c r="M139" s="77">
        <v>10</v>
      </c>
      <c r="N139" s="77">
        <v>10</v>
      </c>
      <c r="O139" s="77">
        <v>10</v>
      </c>
      <c r="P139" s="77"/>
      <c r="Q139" s="77">
        <v>10</v>
      </c>
      <c r="R139" s="77">
        <v>10</v>
      </c>
      <c r="S139" s="77">
        <v>10</v>
      </c>
      <c r="U139" s="1" t="b">
        <f t="shared" si="30"/>
        <v>1</v>
      </c>
      <c r="V139" s="77">
        <v>10</v>
      </c>
      <c r="W139" s="77">
        <v>10</v>
      </c>
    </row>
    <row r="140" spans="1:23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/>
      <c r="M140" s="77">
        <v>-0.04</v>
      </c>
      <c r="N140" s="77">
        <v>-0.04</v>
      </c>
      <c r="O140" s="77">
        <v>-0.04</v>
      </c>
      <c r="P140" s="77"/>
      <c r="Q140" s="77">
        <v>-0.04</v>
      </c>
      <c r="R140" s="77">
        <v>-0.04</v>
      </c>
      <c r="S140" s="77">
        <v>-0.04</v>
      </c>
      <c r="U140" s="1" t="b">
        <f t="shared" si="30"/>
        <v>1</v>
      </c>
      <c r="V140" s="77">
        <v>-0.04</v>
      </c>
      <c r="W140" s="77">
        <v>-0.04</v>
      </c>
    </row>
    <row r="141" spans="1:23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/>
      <c r="M141" s="77">
        <v>2.9</v>
      </c>
      <c r="N141" s="77">
        <v>2.9</v>
      </c>
      <c r="O141" s="77">
        <v>2.9</v>
      </c>
      <c r="P141" s="77"/>
      <c r="Q141" s="77">
        <v>2.9</v>
      </c>
      <c r="R141" s="77">
        <v>2.9</v>
      </c>
      <c r="S141" s="77">
        <v>2.9</v>
      </c>
      <c r="U141" s="1" t="b">
        <f t="shared" si="30"/>
        <v>1</v>
      </c>
      <c r="V141" s="77">
        <v>2.9</v>
      </c>
      <c r="W141" s="77">
        <v>2.9</v>
      </c>
    </row>
    <row r="142" spans="1:23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/>
      <c r="M142" s="77">
        <v>1</v>
      </c>
      <c r="N142" s="77">
        <v>1</v>
      </c>
      <c r="O142" s="77">
        <v>1</v>
      </c>
      <c r="P142" s="77"/>
      <c r="Q142" s="77">
        <v>1</v>
      </c>
      <c r="R142" s="77">
        <v>1</v>
      </c>
      <c r="S142" s="77">
        <v>1</v>
      </c>
      <c r="U142" s="1" t="b">
        <f t="shared" si="30"/>
        <v>1</v>
      </c>
      <c r="V142" s="77">
        <v>1</v>
      </c>
      <c r="W142" s="77">
        <v>1</v>
      </c>
    </row>
    <row r="143" spans="1:23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/>
      <c r="M143" s="77">
        <v>0</v>
      </c>
      <c r="N143" s="77">
        <v>0</v>
      </c>
      <c r="O143" s="77">
        <v>0</v>
      </c>
      <c r="P143" s="77"/>
      <c r="Q143" s="77">
        <v>0</v>
      </c>
      <c r="R143" s="77">
        <v>0</v>
      </c>
      <c r="S143" s="77">
        <v>0</v>
      </c>
      <c r="U143" s="1" t="b">
        <f t="shared" si="30"/>
        <v>1</v>
      </c>
      <c r="V143" s="77">
        <v>0</v>
      </c>
      <c r="W143" s="77">
        <v>0</v>
      </c>
    </row>
    <row r="144" spans="1:23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/>
      <c r="M144" s="80">
        <v>5.0000000000000004E-6</v>
      </c>
      <c r="N144" s="80">
        <v>5.0000000000000004E-6</v>
      </c>
      <c r="O144" s="80">
        <v>5.0000000000000004E-6</v>
      </c>
      <c r="P144" s="80"/>
      <c r="Q144" s="80">
        <v>5.0000000000000004E-6</v>
      </c>
      <c r="R144" s="80">
        <v>5.0000000000000004E-6</v>
      </c>
      <c r="S144" s="80">
        <v>5.0000000000000004E-6</v>
      </c>
      <c r="U144" s="1" t="b">
        <f t="shared" si="30"/>
        <v>1</v>
      </c>
      <c r="V144" s="80">
        <v>5.0000000000000004E-6</v>
      </c>
      <c r="W144" s="80">
        <v>5.0000000000000004E-6</v>
      </c>
    </row>
    <row r="145" spans="1:23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/>
      <c r="Q145" s="77">
        <v>0</v>
      </c>
      <c r="R145" s="77">
        <v>0</v>
      </c>
      <c r="S145" s="77">
        <v>0</v>
      </c>
      <c r="U145" s="1" t="b">
        <f t="shared" si="30"/>
        <v>1</v>
      </c>
      <c r="V145" s="77">
        <v>0</v>
      </c>
      <c r="W145" s="77">
        <v>0</v>
      </c>
    </row>
    <row r="146" spans="1:23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/>
      <c r="M146" s="77">
        <v>2E-3</v>
      </c>
      <c r="N146" s="77">
        <v>2E-3</v>
      </c>
      <c r="O146" s="77">
        <v>2E-3</v>
      </c>
      <c r="P146" s="77"/>
      <c r="Q146" s="77">
        <v>2E-3</v>
      </c>
      <c r="R146" s="77">
        <v>2E-3</v>
      </c>
      <c r="S146" s="77">
        <v>2E-3</v>
      </c>
      <c r="U146" s="1" t="b">
        <f t="shared" si="30"/>
        <v>1</v>
      </c>
      <c r="V146" s="77">
        <v>2E-3</v>
      </c>
      <c r="W146" s="77">
        <v>2E-3</v>
      </c>
    </row>
    <row r="147" spans="1:23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/>
      <c r="M147" s="80">
        <v>3.9999999999999998E-6</v>
      </c>
      <c r="N147" s="80">
        <v>3.9999999999999998E-6</v>
      </c>
      <c r="O147" s="80">
        <v>3.9999999999999998E-6</v>
      </c>
      <c r="P147" s="80"/>
      <c r="Q147" s="80">
        <v>3.9999999999999998E-6</v>
      </c>
      <c r="R147" s="80">
        <v>3.9999999999999998E-6</v>
      </c>
      <c r="S147" s="80">
        <v>3.9999999999999998E-6</v>
      </c>
      <c r="U147" s="1" t="b">
        <f t="shared" si="30"/>
        <v>1</v>
      </c>
      <c r="V147" s="80">
        <v>3.9999999999999998E-6</v>
      </c>
      <c r="W147" s="80">
        <v>3.9999999999999998E-6</v>
      </c>
    </row>
    <row r="148" spans="1:23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/>
      <c r="M148" s="80">
        <v>3.7699999999999999E-10</v>
      </c>
      <c r="N148" s="80">
        <v>3.7699999999999999E-10</v>
      </c>
      <c r="O148" s="80">
        <v>3.7699999999999999E-10</v>
      </c>
      <c r="P148" s="80"/>
      <c r="Q148" s="80">
        <v>3.7699999999999999E-10</v>
      </c>
      <c r="R148" s="80">
        <v>3.7699999999999999E-10</v>
      </c>
      <c r="S148" s="80">
        <v>3.7699999999999999E-10</v>
      </c>
      <c r="U148" s="1" t="b">
        <f t="shared" si="30"/>
        <v>1</v>
      </c>
      <c r="V148" s="80">
        <v>3.7699999999999999E-10</v>
      </c>
      <c r="W148" s="80">
        <v>3.7699999999999999E-10</v>
      </c>
    </row>
    <row r="149" spans="1:23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/>
      <c r="M149" s="77">
        <v>20</v>
      </c>
      <c r="N149" s="77">
        <v>20</v>
      </c>
      <c r="O149" s="77">
        <v>20</v>
      </c>
      <c r="P149" s="77"/>
      <c r="Q149" s="77">
        <v>20</v>
      </c>
      <c r="R149" s="77">
        <v>20</v>
      </c>
      <c r="S149" s="77">
        <v>20</v>
      </c>
      <c r="U149" s="1" t="b">
        <f t="shared" si="30"/>
        <v>1</v>
      </c>
      <c r="V149" s="77">
        <v>20</v>
      </c>
      <c r="W149" s="77">
        <v>20</v>
      </c>
    </row>
    <row r="150" spans="1:23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/>
      <c r="M150" s="77">
        <v>-0.06</v>
      </c>
      <c r="N150" s="77">
        <v>-0.06</v>
      </c>
      <c r="O150" s="77">
        <v>-0.06</v>
      </c>
      <c r="P150" s="77"/>
      <c r="Q150" s="77">
        <v>-0.06</v>
      </c>
      <c r="R150" s="77">
        <v>-0.06</v>
      </c>
      <c r="S150" s="77">
        <v>-0.06</v>
      </c>
      <c r="U150" s="1" t="b">
        <f t="shared" si="30"/>
        <v>1</v>
      </c>
      <c r="V150" s="77">
        <v>-0.06</v>
      </c>
      <c r="W150" s="77">
        <v>-0.06</v>
      </c>
    </row>
    <row r="151" spans="1:23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/>
      <c r="M151" s="77">
        <v>0.89100000000000001</v>
      </c>
      <c r="N151" s="77">
        <v>0.89100000000000001</v>
      </c>
      <c r="O151" s="77">
        <v>0.89100000000000001</v>
      </c>
      <c r="P151" s="77"/>
      <c r="Q151" s="77">
        <v>0.89100000000000001</v>
      </c>
      <c r="R151" s="77">
        <v>0.89100000000000001</v>
      </c>
      <c r="S151" s="77">
        <v>0.89100000000000001</v>
      </c>
      <c r="U151" s="1" t="b">
        <f t="shared" si="30"/>
        <v>1</v>
      </c>
      <c r="V151" s="77">
        <v>0.89100000000000001</v>
      </c>
      <c r="W151" s="77">
        <v>0.89100000000000001</v>
      </c>
    </row>
    <row r="152" spans="1:23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/>
      <c r="M152" s="77">
        <v>1</v>
      </c>
      <c r="N152" s="77">
        <v>1</v>
      </c>
      <c r="O152" s="77">
        <v>1</v>
      </c>
      <c r="P152" s="77"/>
      <c r="Q152" s="77">
        <v>1</v>
      </c>
      <c r="R152" s="77">
        <v>1</v>
      </c>
      <c r="S152" s="77">
        <v>1</v>
      </c>
      <c r="U152" s="1" t="b">
        <f t="shared" si="30"/>
        <v>1</v>
      </c>
      <c r="V152" s="77">
        <v>1</v>
      </c>
      <c r="W152" s="77">
        <v>1</v>
      </c>
    </row>
    <row r="153" spans="1:23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/>
      <c r="M153" s="80">
        <v>4.0000000000000003E-5</v>
      </c>
      <c r="N153" s="80">
        <v>4.0000000000000003E-5</v>
      </c>
      <c r="O153" s="80">
        <v>4.0000000000000003E-5</v>
      </c>
      <c r="P153" s="80"/>
      <c r="Q153" s="80">
        <v>4.0000000000000003E-5</v>
      </c>
      <c r="R153" s="80">
        <v>4.0000000000000003E-5</v>
      </c>
      <c r="S153" s="80">
        <v>4.0000000000000003E-5</v>
      </c>
      <c r="U153" s="1" t="b">
        <f t="shared" si="30"/>
        <v>1</v>
      </c>
      <c r="V153" s="80">
        <v>4.0000000000000003E-5</v>
      </c>
      <c r="W153" s="80">
        <v>4.0000000000000003E-5</v>
      </c>
    </row>
    <row r="154" spans="1:23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/>
      <c r="M154" s="80">
        <v>5.8333333333333335E-9</v>
      </c>
      <c r="N154" s="80">
        <v>5.8333333333333335E-9</v>
      </c>
      <c r="O154" s="80">
        <v>5.8333333333333335E-9</v>
      </c>
      <c r="P154" s="80"/>
      <c r="Q154" s="80">
        <v>5.8333333333333335E-9</v>
      </c>
      <c r="R154" s="80">
        <v>5.8333333333333335E-9</v>
      </c>
      <c r="S154" s="80">
        <v>5.8333333333333335E-9</v>
      </c>
      <c r="U154" s="1" t="b">
        <f t="shared" si="30"/>
        <v>1</v>
      </c>
      <c r="V154" s="80">
        <v>5.8333333333333335E-9</v>
      </c>
      <c r="W154" s="80">
        <v>5.8333333333333335E-9</v>
      </c>
    </row>
    <row r="155" spans="1:23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/>
      <c r="M155" s="77">
        <v>20</v>
      </c>
      <c r="N155" s="77">
        <v>20</v>
      </c>
      <c r="O155" s="77">
        <v>20</v>
      </c>
      <c r="P155" s="77"/>
      <c r="Q155" s="77">
        <v>20</v>
      </c>
      <c r="R155" s="77">
        <v>20</v>
      </c>
      <c r="S155" s="77">
        <v>20</v>
      </c>
      <c r="U155" s="1" t="b">
        <f t="shared" si="30"/>
        <v>1</v>
      </c>
      <c r="V155" s="77">
        <v>20</v>
      </c>
      <c r="W155" s="77">
        <v>20</v>
      </c>
    </row>
    <row r="156" spans="1:23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/>
      <c r="M156" s="77">
        <v>-0.06</v>
      </c>
      <c r="N156" s="77">
        <v>-0.06</v>
      </c>
      <c r="O156" s="77">
        <v>-0.06</v>
      </c>
      <c r="P156" s="77"/>
      <c r="Q156" s="77">
        <v>-0.06</v>
      </c>
      <c r="R156" s="77">
        <v>-0.06</v>
      </c>
      <c r="S156" s="77">
        <v>-0.06</v>
      </c>
      <c r="U156" s="1" t="b">
        <f t="shared" si="30"/>
        <v>1</v>
      </c>
      <c r="V156" s="77">
        <v>-0.06</v>
      </c>
      <c r="W156" s="77">
        <v>-0.06</v>
      </c>
    </row>
    <row r="157" spans="1:23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/>
      <c r="M157" s="77">
        <v>0.89100000000000001</v>
      </c>
      <c r="N157" s="77">
        <v>0.89100000000000001</v>
      </c>
      <c r="O157" s="77">
        <v>0.89100000000000001</v>
      </c>
      <c r="P157" s="77"/>
      <c r="Q157" s="77">
        <v>0.89100000000000001</v>
      </c>
      <c r="R157" s="77">
        <v>0.89100000000000001</v>
      </c>
      <c r="S157" s="77">
        <v>0.89100000000000001</v>
      </c>
      <c r="U157" s="1" t="b">
        <f t="shared" si="30"/>
        <v>1</v>
      </c>
      <c r="V157" s="77">
        <v>0.89100000000000001</v>
      </c>
      <c r="W157" s="77">
        <v>0.89100000000000001</v>
      </c>
    </row>
    <row r="158" spans="1:23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/>
      <c r="M158" s="77">
        <v>1</v>
      </c>
      <c r="N158" s="77">
        <v>1</v>
      </c>
      <c r="O158" s="77">
        <v>1</v>
      </c>
      <c r="P158" s="77"/>
      <c r="Q158" s="77">
        <v>1</v>
      </c>
      <c r="R158" s="77">
        <v>1</v>
      </c>
      <c r="S158" s="77">
        <v>1</v>
      </c>
      <c r="U158" s="1" t="b">
        <f t="shared" si="30"/>
        <v>1</v>
      </c>
      <c r="V158" s="77">
        <v>1</v>
      </c>
      <c r="W158" s="77">
        <v>1</v>
      </c>
    </row>
    <row r="159" spans="1:23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/>
      <c r="M159" s="80">
        <v>4.0000000000000003E-5</v>
      </c>
      <c r="N159" s="80">
        <v>4.0000000000000003E-5</v>
      </c>
      <c r="O159" s="80">
        <v>4.0000000000000003E-5</v>
      </c>
      <c r="P159" s="80"/>
      <c r="Q159" s="80">
        <v>4.0000000000000003E-5</v>
      </c>
      <c r="R159" s="80">
        <v>4.0000000000000003E-5</v>
      </c>
      <c r="S159" s="80">
        <v>4.0000000000000003E-5</v>
      </c>
      <c r="U159" s="1" t="b">
        <f t="shared" si="30"/>
        <v>1</v>
      </c>
      <c r="V159" s="80">
        <v>4.0000000000000003E-5</v>
      </c>
      <c r="W159" s="80">
        <v>4.0000000000000003E-5</v>
      </c>
    </row>
    <row r="160" spans="1:23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/>
      <c r="M160" s="83">
        <v>4.0000000000000001E-8</v>
      </c>
      <c r="N160" s="83">
        <v>4.0000000000000001E-8</v>
      </c>
      <c r="O160" s="83">
        <v>4.0000000000000001E-8</v>
      </c>
      <c r="P160" s="83"/>
      <c r="Q160" s="83">
        <v>4.0000000000000001E-8</v>
      </c>
      <c r="R160" s="83">
        <v>4.0000000000000001E-8</v>
      </c>
      <c r="S160" s="83">
        <v>4.0000000000000001E-8</v>
      </c>
      <c r="U160" s="1" t="b">
        <f t="shared" si="30"/>
        <v>1</v>
      </c>
      <c r="V160" s="83">
        <v>4.0000000000000001E-8</v>
      </c>
      <c r="W160" s="83">
        <v>4.0000000000000001E-8</v>
      </c>
    </row>
    <row r="161" spans="1:23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/>
      <c r="M161" s="77">
        <v>20</v>
      </c>
      <c r="N161" s="77">
        <v>20</v>
      </c>
      <c r="O161" s="77">
        <v>20</v>
      </c>
      <c r="P161" s="77"/>
      <c r="Q161" s="77">
        <v>20</v>
      </c>
      <c r="R161" s="77">
        <v>20</v>
      </c>
      <c r="S161" s="77">
        <v>20</v>
      </c>
      <c r="U161" s="1" t="b">
        <f t="shared" si="30"/>
        <v>1</v>
      </c>
      <c r="V161" s="77">
        <v>20</v>
      </c>
      <c r="W161" s="77">
        <v>20</v>
      </c>
    </row>
    <row r="162" spans="1:23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/>
      <c r="M162" s="77">
        <v>-4.4200000000000003E-2</v>
      </c>
      <c r="N162" s="77">
        <v>-4.4200000000000003E-2</v>
      </c>
      <c r="O162" s="77">
        <v>-4.4200000000000003E-2</v>
      </c>
      <c r="P162" s="77"/>
      <c r="Q162" s="77">
        <v>-4.4200000000000003E-2</v>
      </c>
      <c r="R162" s="77">
        <v>-4.4200000000000003E-2</v>
      </c>
      <c r="S162" s="77">
        <v>-4.4200000000000003E-2</v>
      </c>
      <c r="U162" s="1" t="b">
        <f t="shared" si="30"/>
        <v>1</v>
      </c>
      <c r="V162" s="77">
        <v>-4.4200000000000003E-2</v>
      </c>
      <c r="W162" s="77">
        <v>-4.4200000000000003E-2</v>
      </c>
    </row>
    <row r="163" spans="1:23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/>
      <c r="M163" s="77">
        <v>1.55</v>
      </c>
      <c r="N163" s="77">
        <v>1.55</v>
      </c>
      <c r="O163" s="77">
        <v>1.55</v>
      </c>
      <c r="P163" s="77"/>
      <c r="Q163" s="77">
        <v>1.55</v>
      </c>
      <c r="R163" s="77">
        <v>1.55</v>
      </c>
      <c r="S163" s="77">
        <v>1.55</v>
      </c>
      <c r="U163" s="1" t="b">
        <f t="shared" si="30"/>
        <v>1</v>
      </c>
      <c r="V163" s="77">
        <v>1.55</v>
      </c>
      <c r="W163" s="77">
        <v>1.55</v>
      </c>
    </row>
    <row r="164" spans="1:23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/>
      <c r="M164" s="77">
        <v>1</v>
      </c>
      <c r="N164" s="77">
        <v>1</v>
      </c>
      <c r="O164" s="77">
        <v>1</v>
      </c>
      <c r="P164" s="77"/>
      <c r="Q164" s="77">
        <v>1</v>
      </c>
      <c r="R164" s="77">
        <v>1</v>
      </c>
      <c r="S164" s="77">
        <v>1</v>
      </c>
      <c r="U164" s="1" t="b">
        <f t="shared" si="30"/>
        <v>1</v>
      </c>
      <c r="V164" s="77">
        <v>1</v>
      </c>
      <c r="W164" s="77">
        <v>1</v>
      </c>
    </row>
    <row r="165" spans="1:23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/>
      <c r="M165" s="77">
        <v>2.7799999999999998E-4</v>
      </c>
      <c r="N165" s="77">
        <v>2.7799999999999998E-4</v>
      </c>
      <c r="O165" s="77">
        <v>2.7799999999999998E-4</v>
      </c>
      <c r="P165" s="77"/>
      <c r="Q165" s="77">
        <v>2.7799999999999998E-4</v>
      </c>
      <c r="R165" s="77">
        <v>2.7799999999999998E-4</v>
      </c>
      <c r="S165" s="77">
        <v>2.7799999999999998E-4</v>
      </c>
      <c r="U165" s="1" t="b">
        <f t="shared" si="30"/>
        <v>1</v>
      </c>
      <c r="V165" s="77">
        <v>2.7799999999999998E-4</v>
      </c>
      <c r="W165" s="77">
        <v>2.7799999999999998E-4</v>
      </c>
    </row>
    <row r="166" spans="1:23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/>
      <c r="M166" s="84">
        <v>2.4999999999999998E-12</v>
      </c>
      <c r="N166" s="84">
        <v>2.4999999999999998E-12</v>
      </c>
      <c r="O166" s="84">
        <v>2.4999999999999998E-12</v>
      </c>
      <c r="P166" s="84"/>
      <c r="Q166" s="84">
        <v>2.4999999999999998E-12</v>
      </c>
      <c r="R166" s="84">
        <v>2.4999999999999998E-12</v>
      </c>
      <c r="S166" s="84">
        <v>2.4999999999999998E-12</v>
      </c>
      <c r="U166" s="1" t="b">
        <f t="shared" si="30"/>
        <v>1</v>
      </c>
      <c r="V166" s="84">
        <v>2.4999999999999998E-12</v>
      </c>
      <c r="W166" s="84">
        <v>2.4999999999999998E-12</v>
      </c>
    </row>
    <row r="167" spans="1:23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/>
      <c r="M167" s="77">
        <v>20</v>
      </c>
      <c r="N167" s="77">
        <v>20</v>
      </c>
      <c r="O167" s="77">
        <v>20</v>
      </c>
      <c r="P167" s="77"/>
      <c r="Q167" s="77">
        <v>20</v>
      </c>
      <c r="R167" s="77">
        <v>20</v>
      </c>
      <c r="S167" s="77">
        <v>20</v>
      </c>
      <c r="U167" s="1" t="b">
        <f t="shared" si="30"/>
        <v>1</v>
      </c>
      <c r="V167" s="77">
        <v>20</v>
      </c>
      <c r="W167" s="77">
        <v>20</v>
      </c>
    </row>
    <row r="168" spans="1:23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/>
      <c r="M168" s="77">
        <v>0</v>
      </c>
      <c r="N168" s="77">
        <v>0</v>
      </c>
      <c r="O168" s="77">
        <v>0</v>
      </c>
      <c r="P168" s="77"/>
      <c r="Q168" s="77">
        <v>0</v>
      </c>
      <c r="R168" s="77">
        <v>0</v>
      </c>
      <c r="S168" s="77">
        <v>0</v>
      </c>
      <c r="U168" s="1" t="b">
        <f t="shared" si="30"/>
        <v>1</v>
      </c>
      <c r="V168" s="77">
        <v>0</v>
      </c>
      <c r="W168" s="77">
        <v>0</v>
      </c>
    </row>
    <row r="169" spans="1:23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/>
      <c r="M169" s="77">
        <v>1</v>
      </c>
      <c r="N169" s="77">
        <v>1</v>
      </c>
      <c r="O169" s="77">
        <v>1</v>
      </c>
      <c r="P169" s="77"/>
      <c r="Q169" s="77">
        <v>1</v>
      </c>
      <c r="R169" s="77">
        <v>1</v>
      </c>
      <c r="S169" s="77">
        <v>1</v>
      </c>
      <c r="U169" s="1" t="b">
        <f t="shared" si="30"/>
        <v>1</v>
      </c>
      <c r="V169" s="77">
        <v>1</v>
      </c>
      <c r="W169" s="77">
        <v>1</v>
      </c>
    </row>
    <row r="170" spans="1:23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/>
      <c r="Q170" s="77">
        <v>0</v>
      </c>
      <c r="R170" s="77">
        <v>0</v>
      </c>
      <c r="S170" s="77">
        <v>0</v>
      </c>
      <c r="U170" s="1" t="b">
        <f t="shared" si="30"/>
        <v>1</v>
      </c>
      <c r="V170" s="77">
        <v>0</v>
      </c>
      <c r="W170" s="77">
        <v>0</v>
      </c>
    </row>
    <row r="171" spans="1:23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/>
      <c r="M171" s="77">
        <v>0.4</v>
      </c>
      <c r="N171" s="77">
        <v>0.4</v>
      </c>
      <c r="O171" s="77">
        <v>0.4</v>
      </c>
      <c r="P171" s="77"/>
      <c r="Q171" s="77">
        <v>0.4</v>
      </c>
      <c r="R171" s="77">
        <v>0.4</v>
      </c>
      <c r="S171" s="77">
        <v>0.4</v>
      </c>
      <c r="U171" s="1" t="b">
        <f t="shared" si="30"/>
        <v>1</v>
      </c>
      <c r="V171" s="77">
        <v>0.4</v>
      </c>
      <c r="W171" s="77">
        <v>0.4</v>
      </c>
    </row>
    <row r="172" spans="1:23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/>
      <c r="M172" s="86">
        <v>2.0000000000000001E-9</v>
      </c>
      <c r="N172" s="86">
        <v>2.0000000000000001E-9</v>
      </c>
      <c r="O172" s="86">
        <v>2.0000000000000001E-9</v>
      </c>
      <c r="P172" s="86"/>
      <c r="Q172" s="86">
        <v>2.0000000000000001E-9</v>
      </c>
      <c r="R172" s="86">
        <v>2.0000000000000001E-9</v>
      </c>
      <c r="S172" s="86">
        <v>2.0000000000000001E-9</v>
      </c>
      <c r="U172" s="1" t="b">
        <f t="shared" si="30"/>
        <v>1</v>
      </c>
      <c r="V172" s="86">
        <v>2.0000000000000001E-9</v>
      </c>
      <c r="W172" s="86">
        <v>2.0000000000000001E-9</v>
      </c>
    </row>
    <row r="173" spans="1:23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/>
      <c r="M173" s="77">
        <v>25</v>
      </c>
      <c r="N173" s="77">
        <v>25</v>
      </c>
      <c r="O173" s="77">
        <v>25</v>
      </c>
      <c r="P173" s="77"/>
      <c r="Q173" s="77">
        <v>25</v>
      </c>
      <c r="R173" s="77">
        <v>25</v>
      </c>
      <c r="S173" s="77">
        <v>25</v>
      </c>
      <c r="U173" s="1" t="b">
        <f t="shared" si="30"/>
        <v>1</v>
      </c>
      <c r="V173" s="77">
        <v>25</v>
      </c>
      <c r="W173" s="77">
        <v>25</v>
      </c>
    </row>
    <row r="174" spans="1:23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/>
      <c r="M174" s="77">
        <v>0</v>
      </c>
      <c r="N174" s="77">
        <v>0</v>
      </c>
      <c r="O174" s="77">
        <v>0</v>
      </c>
      <c r="P174" s="77"/>
      <c r="Q174" s="77">
        <v>0</v>
      </c>
      <c r="R174" s="77">
        <v>0</v>
      </c>
      <c r="S174" s="77">
        <v>0</v>
      </c>
      <c r="U174" s="1" t="b">
        <f t="shared" si="30"/>
        <v>1</v>
      </c>
      <c r="V174" s="77">
        <v>0</v>
      </c>
      <c r="W174" s="77">
        <v>0</v>
      </c>
    </row>
    <row r="175" spans="1:23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/>
      <c r="M175" s="77">
        <v>3.98</v>
      </c>
      <c r="N175" s="77">
        <v>3.98</v>
      </c>
      <c r="O175" s="77">
        <v>3.98</v>
      </c>
      <c r="P175" s="77"/>
      <c r="Q175" s="77">
        <v>3.98</v>
      </c>
      <c r="R175" s="77">
        <v>3.98</v>
      </c>
      <c r="S175" s="77">
        <v>3.98</v>
      </c>
      <c r="U175" s="1" t="b">
        <f t="shared" si="30"/>
        <v>1</v>
      </c>
      <c r="V175" s="77">
        <v>3.98</v>
      </c>
      <c r="W175" s="77">
        <v>3.98</v>
      </c>
    </row>
    <row r="176" spans="1:23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/>
      <c r="M176" s="77">
        <v>1</v>
      </c>
      <c r="N176" s="77">
        <v>1</v>
      </c>
      <c r="O176" s="77">
        <v>1</v>
      </c>
      <c r="P176" s="77"/>
      <c r="Q176" s="77">
        <v>1</v>
      </c>
      <c r="R176" s="77">
        <v>1</v>
      </c>
      <c r="S176" s="77">
        <v>1</v>
      </c>
      <c r="U176" s="1" t="b">
        <f t="shared" si="30"/>
        <v>1</v>
      </c>
      <c r="V176" s="77">
        <v>1</v>
      </c>
      <c r="W176" s="77">
        <v>1</v>
      </c>
    </row>
    <row r="177" spans="1:23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/>
      <c r="M177" s="78">
        <v>1.6666666666666666E-4</v>
      </c>
      <c r="N177" s="78">
        <v>1.6666666666666666E-4</v>
      </c>
      <c r="O177" s="78">
        <v>1.6666666666666666E-4</v>
      </c>
      <c r="P177" s="78"/>
      <c r="Q177" s="78">
        <v>1.6666666666666666E-4</v>
      </c>
      <c r="R177" s="78">
        <v>1.6666666666666666E-4</v>
      </c>
      <c r="S177" s="78">
        <v>1.6666666666666666E-4</v>
      </c>
      <c r="U177" s="1" t="b">
        <f t="shared" si="30"/>
        <v>1</v>
      </c>
      <c r="V177" s="78">
        <v>1.6666666666666666E-4</v>
      </c>
      <c r="W177" s="78">
        <v>1.6666666666666666E-4</v>
      </c>
    </row>
    <row r="178" spans="1:23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/>
      <c r="M178" s="80">
        <v>1E-8</v>
      </c>
      <c r="N178" s="80">
        <v>1E-8</v>
      </c>
      <c r="O178" s="80">
        <v>1E-8</v>
      </c>
      <c r="P178" s="80"/>
      <c r="Q178" s="80">
        <v>1E-8</v>
      </c>
      <c r="R178" s="80">
        <v>1E-8</v>
      </c>
      <c r="S178" s="80">
        <v>1E-8</v>
      </c>
      <c r="U178" s="1" t="b">
        <f t="shared" si="30"/>
        <v>1</v>
      </c>
      <c r="V178" s="80">
        <v>1E-8</v>
      </c>
      <c r="W178" s="80">
        <v>1E-8</v>
      </c>
    </row>
    <row r="179" spans="1:23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/>
      <c r="M179" s="77">
        <v>20</v>
      </c>
      <c r="N179" s="77">
        <v>20</v>
      </c>
      <c r="O179" s="77">
        <v>20</v>
      </c>
      <c r="P179" s="77"/>
      <c r="Q179" s="77">
        <v>20</v>
      </c>
      <c r="R179" s="77">
        <v>20</v>
      </c>
      <c r="S179" s="77">
        <v>20</v>
      </c>
      <c r="U179" s="1" t="b">
        <f t="shared" si="30"/>
        <v>1</v>
      </c>
      <c r="V179" s="77">
        <v>20</v>
      </c>
      <c r="W179" s="77">
        <v>20</v>
      </c>
    </row>
    <row r="180" spans="1:23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/>
      <c r="M180" s="77">
        <v>0</v>
      </c>
      <c r="N180" s="77">
        <v>0</v>
      </c>
      <c r="O180" s="77">
        <v>0</v>
      </c>
      <c r="P180" s="77"/>
      <c r="Q180" s="77">
        <v>0</v>
      </c>
      <c r="R180" s="77">
        <v>0</v>
      </c>
      <c r="S180" s="77">
        <v>0</v>
      </c>
      <c r="U180" s="1" t="b">
        <f t="shared" si="30"/>
        <v>1</v>
      </c>
      <c r="V180" s="77">
        <v>0</v>
      </c>
      <c r="W180" s="77">
        <v>0</v>
      </c>
    </row>
    <row r="181" spans="1:23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/>
      <c r="M181" s="77">
        <v>2</v>
      </c>
      <c r="N181" s="77">
        <v>2</v>
      </c>
      <c r="O181" s="77">
        <v>2</v>
      </c>
      <c r="P181" s="77"/>
      <c r="Q181" s="77">
        <v>2</v>
      </c>
      <c r="R181" s="77">
        <v>2</v>
      </c>
      <c r="S181" s="77">
        <v>2</v>
      </c>
      <c r="U181" s="1" t="b">
        <f t="shared" si="30"/>
        <v>1</v>
      </c>
      <c r="V181" s="77">
        <v>2</v>
      </c>
      <c r="W181" s="77">
        <v>2</v>
      </c>
    </row>
    <row r="182" spans="1:23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/>
      <c r="M182" s="77">
        <v>1</v>
      </c>
      <c r="N182" s="77">
        <v>1</v>
      </c>
      <c r="O182" s="77">
        <v>1</v>
      </c>
      <c r="P182" s="77"/>
      <c r="Q182" s="77">
        <v>1</v>
      </c>
      <c r="R182" s="77">
        <v>1</v>
      </c>
      <c r="S182" s="77">
        <v>1</v>
      </c>
      <c r="U182" s="1" t="b">
        <f t="shared" si="30"/>
        <v>1</v>
      </c>
      <c r="V182" s="77">
        <v>1</v>
      </c>
      <c r="W182" s="77">
        <v>1</v>
      </c>
    </row>
    <row r="183" spans="1:23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/>
      <c r="M183" s="78">
        <v>8.3333333333333331E-5</v>
      </c>
      <c r="N183" s="78">
        <v>8.3333333333333331E-5</v>
      </c>
      <c r="O183" s="78">
        <v>8.3333333333333331E-5</v>
      </c>
      <c r="P183" s="78"/>
      <c r="Q183" s="78">
        <v>8.3333333333333331E-5</v>
      </c>
      <c r="R183" s="78">
        <v>8.3333333333333331E-5</v>
      </c>
      <c r="S183" s="78">
        <v>8.3333333333333331E-5</v>
      </c>
      <c r="U183" s="1" t="b">
        <f t="shared" si="30"/>
        <v>1</v>
      </c>
      <c r="V183" s="78">
        <v>8.3333333333333331E-5</v>
      </c>
      <c r="W183" s="78">
        <v>8.3333333333333331E-5</v>
      </c>
    </row>
    <row r="184" spans="1:23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/>
      <c r="Q184" s="77">
        <v>1</v>
      </c>
      <c r="R184" s="77">
        <v>1</v>
      </c>
      <c r="S184" s="77">
        <v>1</v>
      </c>
      <c r="U184" s="1" t="b">
        <f t="shared" si="30"/>
        <v>1</v>
      </c>
      <c r="V184" s="77">
        <v>1</v>
      </c>
      <c r="W184" s="77">
        <v>1</v>
      </c>
    </row>
    <row r="185" spans="1:23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/>
      <c r="M185" s="77">
        <v>2.3533050791148899E-8</v>
      </c>
      <c r="N185" s="77">
        <v>2.3533050791148899E-8</v>
      </c>
      <c r="O185" s="77">
        <v>2.3533050791148899E-8</v>
      </c>
      <c r="P185" s="77"/>
      <c r="Q185" s="77">
        <v>2.3533050791148899E-8</v>
      </c>
      <c r="R185" s="77">
        <v>2.3533050791148899E-8</v>
      </c>
      <c r="S185" s="77">
        <v>2.3533050791148899E-8</v>
      </c>
      <c r="U185" s="1" t="b">
        <f t="shared" si="30"/>
        <v>1</v>
      </c>
      <c r="V185" s="77">
        <v>2.3533050791148899E-8</v>
      </c>
      <c r="W185" s="77">
        <v>2.3533050791148899E-8</v>
      </c>
    </row>
    <row r="186" spans="1:23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/>
      <c r="M186" s="77">
        <v>20</v>
      </c>
      <c r="N186" s="77">
        <v>20</v>
      </c>
      <c r="O186" s="77">
        <v>20</v>
      </c>
      <c r="P186" s="77"/>
      <c r="Q186" s="77">
        <v>20</v>
      </c>
      <c r="R186" s="77">
        <v>20</v>
      </c>
      <c r="S186" s="77">
        <v>20</v>
      </c>
      <c r="U186" s="1" t="b">
        <f t="shared" si="30"/>
        <v>1</v>
      </c>
      <c r="V186" s="77">
        <v>20</v>
      </c>
      <c r="W186" s="77">
        <v>20</v>
      </c>
    </row>
    <row r="187" spans="1:23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/>
      <c r="M187" s="77">
        <v>-0.187</v>
      </c>
      <c r="N187" s="77">
        <v>-0.187</v>
      </c>
      <c r="O187" s="77">
        <v>-0.187</v>
      </c>
      <c r="P187" s="77"/>
      <c r="Q187" s="77">
        <v>-0.187</v>
      </c>
      <c r="R187" s="77">
        <v>-0.187</v>
      </c>
      <c r="S187" s="77">
        <v>-0.187</v>
      </c>
      <c r="U187" s="1" t="b">
        <f t="shared" si="30"/>
        <v>1</v>
      </c>
      <c r="V187" s="77">
        <v>-0.187</v>
      </c>
      <c r="W187" s="77">
        <v>-0.187</v>
      </c>
    </row>
    <row r="188" spans="1:23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/>
      <c r="M188" s="77">
        <v>2.48</v>
      </c>
      <c r="N188" s="77">
        <v>2.48</v>
      </c>
      <c r="O188" s="77">
        <v>2.48</v>
      </c>
      <c r="P188" s="77"/>
      <c r="Q188" s="77">
        <v>2.48</v>
      </c>
      <c r="R188" s="77">
        <v>2.48</v>
      </c>
      <c r="S188" s="77">
        <v>2.48</v>
      </c>
      <c r="U188" s="1" t="b">
        <f t="shared" si="30"/>
        <v>1</v>
      </c>
      <c r="V188" s="77">
        <v>2.48</v>
      </c>
      <c r="W188" s="77">
        <v>2.48</v>
      </c>
    </row>
    <row r="189" spans="1:23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/>
      <c r="M189" s="77">
        <v>1</v>
      </c>
      <c r="N189" s="77">
        <v>1</v>
      </c>
      <c r="O189" s="77">
        <v>1</v>
      </c>
      <c r="P189" s="77"/>
      <c r="Q189" s="77">
        <v>1</v>
      </c>
      <c r="R189" s="77">
        <v>1</v>
      </c>
      <c r="S189" s="77">
        <v>1</v>
      </c>
      <c r="U189" s="1" t="b">
        <f t="shared" si="30"/>
        <v>1</v>
      </c>
      <c r="V189" s="77">
        <v>1</v>
      </c>
      <c r="W189" s="77">
        <v>1</v>
      </c>
    </row>
    <row r="190" spans="1:23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/>
      <c r="M190" s="77">
        <v>6.1060227588121015E-4</v>
      </c>
      <c r="N190" s="77">
        <v>6.1060227588121015E-4</v>
      </c>
      <c r="O190" s="77">
        <v>6.1060227588121015E-4</v>
      </c>
      <c r="P190" s="77"/>
      <c r="Q190" s="77">
        <v>6.1060227588121015E-4</v>
      </c>
      <c r="R190" s="77">
        <v>6.1060227588121015E-4</v>
      </c>
      <c r="S190" s="77">
        <v>6.1060227588121015E-4</v>
      </c>
      <c r="U190" s="1" t="b">
        <f t="shared" si="30"/>
        <v>1</v>
      </c>
      <c r="V190" s="77">
        <v>6.1060227588121015E-4</v>
      </c>
      <c r="W190" s="77">
        <v>6.1060227588121015E-4</v>
      </c>
    </row>
    <row r="191" spans="1:23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/>
      <c r="M191" s="85">
        <v>3.9999999999999998E-7</v>
      </c>
      <c r="N191" s="85">
        <v>3.9999999999999998E-7</v>
      </c>
      <c r="O191" s="85">
        <v>3.9999999999999998E-7</v>
      </c>
      <c r="P191" s="85"/>
      <c r="Q191" s="85">
        <v>3.9999999999999998E-7</v>
      </c>
      <c r="R191" s="85">
        <v>3.9999999999999998E-7</v>
      </c>
      <c r="S191" s="85">
        <v>3.9999999999999998E-7</v>
      </c>
      <c r="U191" s="1" t="b">
        <f t="shared" si="30"/>
        <v>1</v>
      </c>
      <c r="V191" s="85">
        <v>3.9999999999999998E-7</v>
      </c>
      <c r="W191" s="85">
        <v>3.9999999999999998E-7</v>
      </c>
    </row>
    <row r="192" spans="1:23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/>
      <c r="M192" s="77">
        <v>25</v>
      </c>
      <c r="N192" s="77">
        <v>25</v>
      </c>
      <c r="O192" s="77">
        <v>25</v>
      </c>
      <c r="P192" s="77"/>
      <c r="Q192" s="77">
        <v>25</v>
      </c>
      <c r="R192" s="77">
        <v>25</v>
      </c>
      <c r="S192" s="77">
        <v>25</v>
      </c>
      <c r="U192" s="1" t="b">
        <f t="shared" si="30"/>
        <v>1</v>
      </c>
      <c r="V192" s="77">
        <v>25</v>
      </c>
      <c r="W192" s="77">
        <v>25</v>
      </c>
    </row>
    <row r="193" spans="1:23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/>
      <c r="M193" s="77">
        <v>0</v>
      </c>
      <c r="N193" s="77">
        <v>0</v>
      </c>
      <c r="O193" s="77">
        <v>0</v>
      </c>
      <c r="P193" s="77"/>
      <c r="Q193" s="77">
        <v>0</v>
      </c>
      <c r="R193" s="77">
        <v>0</v>
      </c>
      <c r="S193" s="77">
        <v>0</v>
      </c>
      <c r="U193" s="1" t="b">
        <f t="shared" si="30"/>
        <v>1</v>
      </c>
      <c r="V193" s="77">
        <v>0</v>
      </c>
      <c r="W193" s="77">
        <v>0</v>
      </c>
    </row>
    <row r="194" spans="1:23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/>
      <c r="M194" s="77">
        <v>3.98</v>
      </c>
      <c r="N194" s="77">
        <v>3.98</v>
      </c>
      <c r="O194" s="77">
        <v>3.98</v>
      </c>
      <c r="P194" s="77"/>
      <c r="Q194" s="77">
        <v>3.98</v>
      </c>
      <c r="R194" s="77">
        <v>3.98</v>
      </c>
      <c r="S194" s="77">
        <v>3.98</v>
      </c>
      <c r="U194" s="1" t="b">
        <f t="shared" si="30"/>
        <v>1</v>
      </c>
      <c r="V194" s="77">
        <v>3.98</v>
      </c>
      <c r="W194" s="77">
        <v>3.98</v>
      </c>
    </row>
    <row r="195" spans="1:23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/>
      <c r="M195" s="77">
        <v>1</v>
      </c>
      <c r="N195" s="77">
        <v>1</v>
      </c>
      <c r="O195" s="77">
        <v>1</v>
      </c>
      <c r="P195" s="77"/>
      <c r="Q195" s="77">
        <v>1</v>
      </c>
      <c r="R195" s="77">
        <v>1</v>
      </c>
      <c r="S195" s="77">
        <v>1</v>
      </c>
      <c r="U195" s="1" t="b">
        <f t="shared" ref="U195:U234" si="31">M195=S195</f>
        <v>1</v>
      </c>
      <c r="V195" s="77">
        <v>1</v>
      </c>
      <c r="W195" s="77">
        <v>1</v>
      </c>
    </row>
    <row r="196" spans="1:23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/>
      <c r="M196" s="78">
        <v>8.3333333333333331E-5</v>
      </c>
      <c r="N196" s="78">
        <v>8.3333333333333331E-5</v>
      </c>
      <c r="O196" s="78">
        <v>8.3333333333333331E-5</v>
      </c>
      <c r="P196" s="78"/>
      <c r="Q196" s="78">
        <v>8.3333333333333331E-5</v>
      </c>
      <c r="R196" s="78">
        <v>8.3333333333333331E-5</v>
      </c>
      <c r="S196" s="78">
        <v>8.3333333333333331E-5</v>
      </c>
      <c r="U196" s="1" t="b">
        <f t="shared" si="31"/>
        <v>1</v>
      </c>
      <c r="V196" s="78">
        <v>8.3333333333333331E-5</v>
      </c>
      <c r="W196" s="78">
        <v>8.3333333333333331E-5</v>
      </c>
    </row>
    <row r="197" spans="1:23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/>
      <c r="M197" s="85">
        <v>3.9999999999999998E-7</v>
      </c>
      <c r="N197" s="85">
        <v>3.9999999999999998E-7</v>
      </c>
      <c r="O197" s="85">
        <v>3.9999999999999998E-7</v>
      </c>
      <c r="P197" s="85"/>
      <c r="Q197" s="85">
        <v>3.9999999999999998E-7</v>
      </c>
      <c r="R197" s="85">
        <v>3.9999999999999998E-7</v>
      </c>
      <c r="S197" s="85">
        <v>3.9999999999999998E-7</v>
      </c>
      <c r="U197" s="1" t="b">
        <f t="shared" si="31"/>
        <v>1</v>
      </c>
      <c r="V197" s="85">
        <v>3.9999999999999998E-7</v>
      </c>
      <c r="W197" s="85">
        <v>3.9999999999999998E-7</v>
      </c>
    </row>
    <row r="198" spans="1:23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/>
      <c r="M198" s="77">
        <v>25</v>
      </c>
      <c r="N198" s="77">
        <v>25</v>
      </c>
      <c r="O198" s="77">
        <v>25</v>
      </c>
      <c r="P198" s="77"/>
      <c r="Q198" s="77">
        <v>25</v>
      </c>
      <c r="R198" s="77">
        <v>25</v>
      </c>
      <c r="S198" s="77">
        <v>25</v>
      </c>
      <c r="U198" s="1" t="b">
        <f t="shared" si="31"/>
        <v>1</v>
      </c>
      <c r="V198" s="77">
        <v>25</v>
      </c>
      <c r="W198" s="77">
        <v>25</v>
      </c>
    </row>
    <row r="199" spans="1:23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/>
      <c r="M199" s="77">
        <v>0</v>
      </c>
      <c r="N199" s="77">
        <v>0</v>
      </c>
      <c r="O199" s="77">
        <v>0</v>
      </c>
      <c r="P199" s="77"/>
      <c r="Q199" s="77">
        <v>0</v>
      </c>
      <c r="R199" s="77">
        <v>0</v>
      </c>
      <c r="S199" s="77">
        <v>0</v>
      </c>
      <c r="U199" s="1" t="b">
        <f t="shared" si="31"/>
        <v>1</v>
      </c>
      <c r="V199" s="77">
        <v>0</v>
      </c>
      <c r="W199" s="77">
        <v>0</v>
      </c>
    </row>
    <row r="200" spans="1:23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/>
      <c r="M200" s="77">
        <v>3.98</v>
      </c>
      <c r="N200" s="77">
        <v>3.98</v>
      </c>
      <c r="O200" s="77">
        <v>3.98</v>
      </c>
      <c r="P200" s="77"/>
      <c r="Q200" s="77">
        <v>3.98</v>
      </c>
      <c r="R200" s="77">
        <v>3.98</v>
      </c>
      <c r="S200" s="77">
        <v>3.98</v>
      </c>
      <c r="U200" s="1" t="b">
        <f t="shared" si="31"/>
        <v>1</v>
      </c>
      <c r="V200" s="77">
        <v>3.98</v>
      </c>
      <c r="W200" s="77">
        <v>3.98</v>
      </c>
    </row>
    <row r="201" spans="1:23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/>
      <c r="M201" s="77">
        <v>1</v>
      </c>
      <c r="N201" s="77">
        <v>1</v>
      </c>
      <c r="O201" s="77">
        <v>1</v>
      </c>
      <c r="P201" s="77"/>
      <c r="Q201" s="77">
        <v>1</v>
      </c>
      <c r="R201" s="77">
        <v>1</v>
      </c>
      <c r="S201" s="77">
        <v>1</v>
      </c>
      <c r="U201" s="1" t="b">
        <f t="shared" si="31"/>
        <v>1</v>
      </c>
      <c r="V201" s="77">
        <v>1</v>
      </c>
      <c r="W201" s="77">
        <v>1</v>
      </c>
    </row>
    <row r="202" spans="1:23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/>
      <c r="M202" s="78">
        <v>8.3333333333333331E-5</v>
      </c>
      <c r="N202" s="78">
        <v>8.3333333333333331E-5</v>
      </c>
      <c r="O202" s="78">
        <v>8.3333333333333331E-5</v>
      </c>
      <c r="P202" s="78"/>
      <c r="Q202" s="78">
        <v>8.3333333333333331E-5</v>
      </c>
      <c r="R202" s="78">
        <v>8.3333333333333331E-5</v>
      </c>
      <c r="S202" s="78">
        <v>8.3333333333333331E-5</v>
      </c>
      <c r="U202" s="1" t="b">
        <f t="shared" si="31"/>
        <v>1</v>
      </c>
      <c r="V202" s="78">
        <v>8.3333333333333331E-5</v>
      </c>
      <c r="W202" s="78">
        <v>8.3333333333333331E-5</v>
      </c>
    </row>
    <row r="203" spans="1:23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/>
      <c r="M203" s="85">
        <v>1.9999999999999999E-7</v>
      </c>
      <c r="N203" s="85">
        <v>1.9999999999999999E-7</v>
      </c>
      <c r="O203" s="85">
        <v>1.9999999999999999E-7</v>
      </c>
      <c r="P203" s="85"/>
      <c r="Q203" s="85">
        <v>1.9999999999999999E-7</v>
      </c>
      <c r="R203" s="85">
        <v>1.9999999999999999E-7</v>
      </c>
      <c r="S203" s="85">
        <v>1.9999999999999999E-7</v>
      </c>
      <c r="U203" s="1" t="b">
        <f t="shared" si="31"/>
        <v>1</v>
      </c>
      <c r="V203" s="85">
        <v>1.9999999999999999E-7</v>
      </c>
      <c r="W203" s="85">
        <v>1.9999999999999999E-7</v>
      </c>
    </row>
    <row r="204" spans="1:23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/>
      <c r="M204" s="77">
        <v>25</v>
      </c>
      <c r="N204" s="77">
        <v>25</v>
      </c>
      <c r="O204" s="77">
        <v>25</v>
      </c>
      <c r="P204" s="77"/>
      <c r="Q204" s="77">
        <v>25</v>
      </c>
      <c r="R204" s="77">
        <v>25</v>
      </c>
      <c r="S204" s="77">
        <v>25</v>
      </c>
      <c r="U204" s="1" t="b">
        <f t="shared" si="31"/>
        <v>1</v>
      </c>
      <c r="V204" s="77">
        <v>25</v>
      </c>
      <c r="W204" s="77">
        <v>25</v>
      </c>
    </row>
    <row r="205" spans="1:23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/>
      <c r="M205" s="77">
        <v>0</v>
      </c>
      <c r="N205" s="77">
        <v>0</v>
      </c>
      <c r="O205" s="77">
        <v>0</v>
      </c>
      <c r="P205" s="77"/>
      <c r="Q205" s="77">
        <v>0</v>
      </c>
      <c r="R205" s="77">
        <v>0</v>
      </c>
      <c r="S205" s="77">
        <v>0</v>
      </c>
      <c r="U205" s="1" t="b">
        <f t="shared" si="31"/>
        <v>1</v>
      </c>
      <c r="V205" s="77">
        <v>0</v>
      </c>
      <c r="W205" s="77">
        <v>0</v>
      </c>
    </row>
    <row r="206" spans="1:23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/>
      <c r="M206" s="77">
        <v>3.98</v>
      </c>
      <c r="N206" s="77">
        <v>3.98</v>
      </c>
      <c r="O206" s="77">
        <v>3.98</v>
      </c>
      <c r="P206" s="77"/>
      <c r="Q206" s="77">
        <v>3.98</v>
      </c>
      <c r="R206" s="77">
        <v>3.98</v>
      </c>
      <c r="S206" s="77">
        <v>3.98</v>
      </c>
      <c r="U206" s="1" t="b">
        <f t="shared" si="31"/>
        <v>1</v>
      </c>
      <c r="V206" s="77">
        <v>3.98</v>
      </c>
      <c r="W206" s="77">
        <v>3.98</v>
      </c>
    </row>
    <row r="207" spans="1:23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/>
      <c r="M207" s="77">
        <v>1</v>
      </c>
      <c r="N207" s="77">
        <v>1</v>
      </c>
      <c r="O207" s="77">
        <v>1</v>
      </c>
      <c r="P207" s="77"/>
      <c r="Q207" s="77">
        <v>1</v>
      </c>
      <c r="R207" s="77">
        <v>1</v>
      </c>
      <c r="S207" s="77">
        <v>1</v>
      </c>
      <c r="U207" s="1" t="b">
        <f t="shared" si="31"/>
        <v>1</v>
      </c>
      <c r="V207" s="77">
        <v>1</v>
      </c>
      <c r="W207" s="77">
        <v>1</v>
      </c>
    </row>
    <row r="208" spans="1:23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/>
      <c r="M208" s="78">
        <v>8.3333333333333331E-5</v>
      </c>
      <c r="N208" s="78">
        <v>8.3333333333333331E-5</v>
      </c>
      <c r="O208" s="78">
        <v>8.3333333333333331E-5</v>
      </c>
      <c r="P208" s="78"/>
      <c r="Q208" s="78">
        <v>8.3333333333333331E-5</v>
      </c>
      <c r="R208" s="78">
        <v>8.3333333333333331E-5</v>
      </c>
      <c r="S208" s="78">
        <v>8.3333333333333331E-5</v>
      </c>
      <c r="U208" s="1" t="b">
        <f t="shared" si="31"/>
        <v>1</v>
      </c>
      <c r="V208" s="78">
        <v>8.3333333333333331E-5</v>
      </c>
      <c r="W208" s="78">
        <v>8.3333333333333331E-5</v>
      </c>
    </row>
    <row r="209" spans="1:23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/>
      <c r="M209" s="95" t="s">
        <v>90</v>
      </c>
      <c r="N209" s="95" t="s">
        <v>90</v>
      </c>
      <c r="O209" s="95" t="s">
        <v>90</v>
      </c>
      <c r="P209" s="95"/>
      <c r="Q209" s="95" t="s">
        <v>90</v>
      </c>
      <c r="R209" s="95" t="s">
        <v>90</v>
      </c>
      <c r="S209" s="95" t="s">
        <v>90</v>
      </c>
      <c r="U209" s="1" t="b">
        <f t="shared" si="31"/>
        <v>1</v>
      </c>
      <c r="V209" s="95" t="s">
        <v>90</v>
      </c>
      <c r="W209" s="95" t="s">
        <v>90</v>
      </c>
    </row>
    <row r="210" spans="1:23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32">0.00002</f>
        <v>2.0000000000000002E-5</v>
      </c>
      <c r="I210" s="83">
        <f t="shared" si="32"/>
        <v>2.0000000000000002E-5</v>
      </c>
      <c r="J210" s="83">
        <f t="shared" si="32"/>
        <v>2.0000000000000002E-5</v>
      </c>
      <c r="K210" s="83">
        <f>0.00005 / 100</f>
        <v>4.9999999999999998E-7</v>
      </c>
      <c r="L210" s="83"/>
      <c r="M210" s="83">
        <f>0.00005 / 100</f>
        <v>4.9999999999999998E-7</v>
      </c>
      <c r="N210" s="83">
        <f>0.00005 / 100 /10</f>
        <v>4.9999999999999998E-8</v>
      </c>
      <c r="O210" s="83">
        <f>0.00005 / 100 * 10</f>
        <v>4.9999999999999996E-6</v>
      </c>
      <c r="P210" s="83"/>
      <c r="Q210" s="83">
        <f>0.00005 / 100</f>
        <v>4.9999999999999998E-7</v>
      </c>
      <c r="R210" s="83">
        <f>0.00005 / 100</f>
        <v>4.9999999999999998E-7</v>
      </c>
      <c r="S210" s="83">
        <f>0.00005 / 100</f>
        <v>4.9999999999999998E-7</v>
      </c>
      <c r="T210" s="1"/>
      <c r="U210" s="1" t="b">
        <f t="shared" si="31"/>
        <v>1</v>
      </c>
      <c r="V210" s="2">
        <v>0.01</v>
      </c>
      <c r="W210" s="2">
        <v>0.01</v>
      </c>
    </row>
    <row r="211" spans="1:23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/>
      <c r="M211" s="83">
        <v>0.3</v>
      </c>
      <c r="N211" s="83">
        <v>0.3</v>
      </c>
      <c r="O211" s="83">
        <v>0.3</v>
      </c>
      <c r="P211" s="83"/>
      <c r="Q211" s="83">
        <v>0.3</v>
      </c>
      <c r="R211" s="83">
        <v>0.3</v>
      </c>
      <c r="S211" s="83">
        <v>0.1</v>
      </c>
      <c r="T211" s="1"/>
      <c r="U211" s="1" t="b">
        <f t="shared" si="31"/>
        <v>0</v>
      </c>
      <c r="V211" s="99">
        <v>0</v>
      </c>
      <c r="W211" s="99">
        <v>0</v>
      </c>
    </row>
    <row r="212" spans="1:23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S212" si="33">0.00002 / 14</f>
        <v>1.4285714285714286E-6</v>
      </c>
      <c r="I212" s="83">
        <f t="shared" si="33"/>
        <v>1.4285714285714286E-6</v>
      </c>
      <c r="J212" s="83">
        <v>2E-3</v>
      </c>
      <c r="K212" s="83">
        <f t="shared" si="33"/>
        <v>1.4285714285714286E-6</v>
      </c>
      <c r="L212" s="83"/>
      <c r="M212" s="83">
        <f t="shared" si="33"/>
        <v>1.4285714285714286E-6</v>
      </c>
      <c r="N212" s="83">
        <f t="shared" si="33"/>
        <v>1.4285714285714286E-6</v>
      </c>
      <c r="O212" s="83">
        <f t="shared" si="33"/>
        <v>1.4285714285714286E-6</v>
      </c>
      <c r="P212" s="83"/>
      <c r="Q212" s="83">
        <f t="shared" si="33"/>
        <v>1.4285714285714286E-6</v>
      </c>
      <c r="R212" s="83">
        <f t="shared" si="33"/>
        <v>1.4285714285714286E-6</v>
      </c>
      <c r="S212" s="83">
        <f t="shared" si="33"/>
        <v>1.4285714285714286E-6</v>
      </c>
      <c r="T212" s="1"/>
      <c r="U212" s="1" t="b">
        <f t="shared" si="31"/>
        <v>1</v>
      </c>
      <c r="V212" s="100">
        <v>1</v>
      </c>
      <c r="W212" s="100">
        <v>0.01</v>
      </c>
    </row>
    <row r="213" spans="1:23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/>
      <c r="M213" s="83" t="s">
        <v>476</v>
      </c>
      <c r="N213" s="83" t="s">
        <v>476</v>
      </c>
      <c r="O213" s="83" t="s">
        <v>476</v>
      </c>
      <c r="P213" s="83"/>
      <c r="Q213" s="83" t="s">
        <v>476</v>
      </c>
      <c r="R213" s="83" t="s">
        <v>476</v>
      </c>
      <c r="S213" s="83" t="s">
        <v>476</v>
      </c>
      <c r="T213" s="1"/>
      <c r="U213" s="1" t="b">
        <f t="shared" si="31"/>
        <v>1</v>
      </c>
      <c r="V213" s="98">
        <v>0.1</v>
      </c>
      <c r="W213" s="98" t="s">
        <v>476</v>
      </c>
    </row>
    <row r="214" spans="1:23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/>
      <c r="M214" s="83">
        <v>0</v>
      </c>
      <c r="N214" s="83">
        <v>0</v>
      </c>
      <c r="O214" s="83">
        <v>0</v>
      </c>
      <c r="P214" s="83"/>
      <c r="Q214" s="83">
        <v>0</v>
      </c>
      <c r="R214" s="83">
        <v>0</v>
      </c>
      <c r="S214" s="83">
        <v>0</v>
      </c>
      <c r="T214" s="1"/>
      <c r="U214" s="1" t="b">
        <f t="shared" si="31"/>
        <v>1</v>
      </c>
      <c r="V214" s="98">
        <v>0.04</v>
      </c>
      <c r="W214" s="98">
        <v>0.04</v>
      </c>
    </row>
    <row r="215" spans="1:23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/>
      <c r="M215" s="83">
        <v>1E-3</v>
      </c>
      <c r="N215" s="83">
        <v>1E-3</v>
      </c>
      <c r="O215" s="83">
        <v>1E-3</v>
      </c>
      <c r="P215" s="83"/>
      <c r="Q215" s="83">
        <v>1E-3</v>
      </c>
      <c r="R215" s="83">
        <v>1E-3</v>
      </c>
      <c r="S215" s="83">
        <v>1E-3</v>
      </c>
      <c r="T215" s="1"/>
      <c r="U215" s="1" t="b">
        <f t="shared" si="31"/>
        <v>1</v>
      </c>
      <c r="V215" s="98">
        <v>1E-3</v>
      </c>
      <c r="W215" s="98">
        <v>1E-3</v>
      </c>
    </row>
    <row r="216" spans="1:23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S216" si="34">1250*0.000001/5</f>
        <v>2.5000000000000001E-4</v>
      </c>
      <c r="I216" s="99">
        <f t="shared" si="34"/>
        <v>2.5000000000000001E-4</v>
      </c>
      <c r="J216" s="99">
        <f t="shared" si="34"/>
        <v>2.5000000000000001E-4</v>
      </c>
      <c r="K216" s="99">
        <f t="shared" si="34"/>
        <v>2.5000000000000001E-4</v>
      </c>
      <c r="L216" s="99"/>
      <c r="M216" s="99">
        <f t="shared" si="34"/>
        <v>2.5000000000000001E-4</v>
      </c>
      <c r="N216" s="99">
        <f t="shared" si="34"/>
        <v>2.5000000000000001E-4</v>
      </c>
      <c r="O216" s="99">
        <f t="shared" si="34"/>
        <v>2.5000000000000001E-4</v>
      </c>
      <c r="P216" s="99"/>
      <c r="Q216" s="99">
        <f t="shared" si="34"/>
        <v>2.5000000000000001E-4</v>
      </c>
      <c r="R216" s="99">
        <f t="shared" si="34"/>
        <v>2.5000000000000001E-4</v>
      </c>
      <c r="S216" s="99">
        <f t="shared" si="34"/>
        <v>2.5000000000000001E-4</v>
      </c>
      <c r="U216" s="1" t="b">
        <f t="shared" si="31"/>
        <v>1</v>
      </c>
      <c r="V216" s="99">
        <v>2.5000000000000001E-4</v>
      </c>
      <c r="W216" s="99">
        <v>2.5000000000000001E-4</v>
      </c>
    </row>
    <row r="217" spans="1:23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/>
      <c r="M217" s="99">
        <v>2.0000000000000001E-4</v>
      </c>
      <c r="N217" s="99">
        <v>2.0000000000000001E-4</v>
      </c>
      <c r="O217" s="99">
        <v>2.0000000000000001E-4</v>
      </c>
      <c r="P217" s="99"/>
      <c r="Q217" s="99">
        <v>2.0000000000000001E-4</v>
      </c>
      <c r="R217" s="99">
        <v>2.0000000000000001E-4</v>
      </c>
      <c r="S217" s="99">
        <v>2.0000000000000001E-4</v>
      </c>
      <c r="U217" s="1" t="b">
        <f t="shared" si="31"/>
        <v>1</v>
      </c>
      <c r="V217" s="99">
        <v>2.0000000000000001E-4</v>
      </c>
      <c r="W217" s="99">
        <v>2.0000000000000001E-4</v>
      </c>
    </row>
    <row r="218" spans="1:23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/>
      <c r="M218" s="83">
        <f xml:space="preserve"> 0.0000000000025</f>
        <v>2.4999999999999998E-12</v>
      </c>
      <c r="N218" s="83">
        <f xml:space="preserve"> 0.0000000000025</f>
        <v>2.4999999999999998E-12</v>
      </c>
      <c r="O218" s="83">
        <f xml:space="preserve"> 0.0000000000025</f>
        <v>2.4999999999999998E-12</v>
      </c>
      <c r="P218" s="83"/>
      <c r="Q218" s="83">
        <f xml:space="preserve"> 0.0000000000025</f>
        <v>2.4999999999999998E-12</v>
      </c>
      <c r="R218" s="83">
        <f xml:space="preserve"> 0.0000000000025</f>
        <v>2.4999999999999998E-12</v>
      </c>
      <c r="S218" s="83">
        <f xml:space="preserve"> 0.0000000000025</f>
        <v>2.4999999999999998E-12</v>
      </c>
      <c r="U218" s="1" t="b">
        <f t="shared" si="31"/>
        <v>1</v>
      </c>
    </row>
    <row r="219" spans="1:23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/>
      <c r="M219" s="83">
        <f>0.00000000005 / 10 / 8</f>
        <v>6.2500000000000006E-13</v>
      </c>
      <c r="N219" s="83">
        <f>0.00000000005 / 10 / 8</f>
        <v>6.2500000000000006E-13</v>
      </c>
      <c r="O219" s="83">
        <f>0.00000000005 / 10 / 8</f>
        <v>6.2500000000000006E-13</v>
      </c>
      <c r="P219" s="83"/>
      <c r="Q219" s="83">
        <f>0.00000000005 / 10 / 8</f>
        <v>6.2500000000000006E-13</v>
      </c>
      <c r="R219" s="83">
        <f>0.00000000005 / 10 / 8</f>
        <v>6.2500000000000006E-13</v>
      </c>
      <c r="S219" s="83">
        <f>0.00000000005</f>
        <v>5.0000000000000002E-11</v>
      </c>
      <c r="U219" s="1" t="b">
        <f t="shared" si="31"/>
        <v>0</v>
      </c>
    </row>
    <row r="220" spans="1:23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/>
      <c r="M220" s="83">
        <f>0.0000001 / 2</f>
        <v>4.9999999999999998E-8</v>
      </c>
      <c r="N220" s="83">
        <f>0.0000001 / 2</f>
        <v>4.9999999999999998E-8</v>
      </c>
      <c r="O220" s="83">
        <f>0.0000001 / 2</f>
        <v>4.9999999999999998E-8</v>
      </c>
      <c r="P220" s="83"/>
      <c r="Q220" s="83">
        <f>0.0000001 / 2</f>
        <v>4.9999999999999998E-8</v>
      </c>
      <c r="R220" s="83">
        <f>0.0000001 / 2</f>
        <v>4.9999999999999998E-8</v>
      </c>
      <c r="S220" s="83">
        <f>0.0000001 * 10 /2</f>
        <v>4.9999999999999998E-7</v>
      </c>
      <c r="U220" s="1" t="b">
        <f t="shared" si="31"/>
        <v>0</v>
      </c>
    </row>
    <row r="221" spans="1:23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/>
      <c r="M221" s="83">
        <f>100</f>
        <v>100</v>
      </c>
      <c r="N221" s="83">
        <f>100</f>
        <v>100</v>
      </c>
      <c r="O221" s="83">
        <f>100</f>
        <v>100</v>
      </c>
      <c r="P221" s="83"/>
      <c r="Q221" s="83">
        <f>100</f>
        <v>100</v>
      </c>
      <c r="R221" s="83">
        <f>100</f>
        <v>100</v>
      </c>
      <c r="S221" s="83">
        <f>100</f>
        <v>100</v>
      </c>
      <c r="U221" s="1" t="b">
        <f t="shared" si="31"/>
        <v>1</v>
      </c>
    </row>
    <row r="222" spans="1:23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/>
      <c r="M222" s="83">
        <f>0.000001 / 10000 / 4 / 10</f>
        <v>2.4999999999999998E-12</v>
      </c>
      <c r="N222" s="83">
        <f>0.000001 / 10000 / 4 / 10</f>
        <v>2.4999999999999998E-12</v>
      </c>
      <c r="O222" s="83">
        <f>0.000001 / 10000 / 4 / 10</f>
        <v>2.4999999999999998E-12</v>
      </c>
      <c r="P222" s="83"/>
      <c r="Q222" s="83">
        <f>0.000001 / 10000 / 4 / 10</f>
        <v>2.4999999999999998E-12</v>
      </c>
      <c r="R222" s="83">
        <f>0.000001 / 10000 / 4 / 10</f>
        <v>2.4999999999999998E-12</v>
      </c>
      <c r="S222" s="83">
        <f>0.000001 / 10000 / 4</f>
        <v>2.4999999999999998E-11</v>
      </c>
      <c r="U222" s="1" t="b">
        <f t="shared" si="31"/>
        <v>0</v>
      </c>
    </row>
    <row r="223" spans="1:23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/>
      <c r="M223" s="83">
        <f>0.00001</f>
        <v>1.0000000000000001E-5</v>
      </c>
      <c r="N223" s="83">
        <f>0.00001</f>
        <v>1.0000000000000001E-5</v>
      </c>
      <c r="O223" s="83">
        <f>0.00001</f>
        <v>1.0000000000000001E-5</v>
      </c>
      <c r="P223" s="83"/>
      <c r="Q223" s="83">
        <f>0.00001</f>
        <v>1.0000000000000001E-5</v>
      </c>
      <c r="R223" s="83">
        <f>0.00001</f>
        <v>1.0000000000000001E-5</v>
      </c>
      <c r="S223" s="83">
        <f>0.00001 * 10</f>
        <v>1E-4</v>
      </c>
      <c r="T223" s="83">
        <v>1.0000000000000001E-5</v>
      </c>
      <c r="U223" s="1" t="b">
        <f t="shared" si="31"/>
        <v>0</v>
      </c>
    </row>
    <row r="224" spans="1:23" x14ac:dyDescent="0.25">
      <c r="A224" s="2" t="s">
        <v>579</v>
      </c>
      <c r="B224" s="3" t="s">
        <v>471</v>
      </c>
      <c r="C224" s="2" t="s">
        <v>487</v>
      </c>
      <c r="D224" s="2" t="s">
        <v>532</v>
      </c>
      <c r="E224" s="96" t="s">
        <v>580</v>
      </c>
      <c r="F224" s="96" t="s">
        <v>550</v>
      </c>
      <c r="G224" s="99">
        <f>2*0.00001</f>
        <v>2.0000000000000002E-5</v>
      </c>
      <c r="H224" s="83">
        <v>1E-3</v>
      </c>
      <c r="I224" s="83">
        <v>1E-3</v>
      </c>
      <c r="J224" s="83">
        <v>1E-3</v>
      </c>
      <c r="K224" s="83">
        <v>1E-3</v>
      </c>
      <c r="L224" s="83"/>
      <c r="M224" s="83">
        <f xml:space="preserve"> 0.001 * 10</f>
        <v>0.01</v>
      </c>
      <c r="N224" s="83">
        <f xml:space="preserve"> 0.001 * 10</f>
        <v>0.01</v>
      </c>
      <c r="O224" s="83">
        <f xml:space="preserve"> 0.001 * 10</f>
        <v>0.01</v>
      </c>
      <c r="P224" s="83"/>
      <c r="Q224" s="83">
        <f xml:space="preserve"> 0.001 * 10</f>
        <v>0.01</v>
      </c>
      <c r="R224" s="83">
        <f xml:space="preserve"> 0.001 * 10</f>
        <v>0.01</v>
      </c>
      <c r="S224" s="83">
        <v>1E-3</v>
      </c>
    </row>
    <row r="225" spans="1:21" x14ac:dyDescent="0.25">
      <c r="A225" s="2" t="s">
        <v>581</v>
      </c>
      <c r="B225" s="3" t="s">
        <v>471</v>
      </c>
      <c r="C225" s="2" t="s">
        <v>487</v>
      </c>
      <c r="D225" s="2" t="s">
        <v>532</v>
      </c>
      <c r="E225" s="96" t="s">
        <v>582</v>
      </c>
      <c r="F225" s="96" t="s">
        <v>550</v>
      </c>
      <c r="G225" s="99">
        <v>1.0000000000000001E-5</v>
      </c>
      <c r="H225" s="99">
        <v>1.0000000000000001E-5</v>
      </c>
      <c r="I225" s="99">
        <v>1.0000000000000001E-5</v>
      </c>
      <c r="J225" s="99">
        <v>1.0000000000000001E-5</v>
      </c>
      <c r="K225" s="99">
        <v>1.0000000000000001E-5</v>
      </c>
      <c r="L225" s="99"/>
      <c r="M225" s="99">
        <f>0.00001 / 3</f>
        <v>3.3333333333333337E-6</v>
      </c>
      <c r="N225" s="99">
        <f>0.00001 / 3</f>
        <v>3.3333333333333337E-6</v>
      </c>
      <c r="O225" s="99">
        <f>0.00001 / 3</f>
        <v>3.3333333333333337E-6</v>
      </c>
      <c r="P225" s="99"/>
      <c r="Q225" s="99">
        <f>0.00001 / 3</f>
        <v>3.3333333333333337E-6</v>
      </c>
      <c r="R225" s="99">
        <f>0.00001 / 3</f>
        <v>3.3333333333333337E-6</v>
      </c>
      <c r="S225" s="99">
        <v>1.0000000000000001E-5</v>
      </c>
      <c r="T225" s="99">
        <v>1.0000000000000001E-5</v>
      </c>
    </row>
    <row r="226" spans="1:21" x14ac:dyDescent="0.25">
      <c r="A226" s="2" t="s">
        <v>538</v>
      </c>
      <c r="B226" s="3" t="s">
        <v>471</v>
      </c>
      <c r="C226" s="2" t="s">
        <v>487</v>
      </c>
      <c r="D226" s="2" t="s">
        <v>532</v>
      </c>
      <c r="E226" s="96" t="s">
        <v>551</v>
      </c>
      <c r="F226" s="96" t="s">
        <v>506</v>
      </c>
      <c r="G226" s="99">
        <f>0.84*(0.36^2)</f>
        <v>0.10886399999999999</v>
      </c>
      <c r="H226" s="83">
        <f t="shared" ref="H226:S226" si="35">0.84*(0.36^2)</f>
        <v>0.10886399999999999</v>
      </c>
      <c r="I226" s="83">
        <f t="shared" si="35"/>
        <v>0.10886399999999999</v>
      </c>
      <c r="J226" s="83">
        <f t="shared" si="35"/>
        <v>0.10886399999999999</v>
      </c>
      <c r="K226" s="83">
        <f t="shared" si="35"/>
        <v>0.10886399999999999</v>
      </c>
      <c r="L226" s="83"/>
      <c r="M226" s="83">
        <f t="shared" si="35"/>
        <v>0.10886399999999999</v>
      </c>
      <c r="N226" s="83">
        <f t="shared" si="35"/>
        <v>0.10886399999999999</v>
      </c>
      <c r="O226" s="83">
        <f t="shared" si="35"/>
        <v>0.10886399999999999</v>
      </c>
      <c r="P226" s="83"/>
      <c r="Q226" s="83">
        <f t="shared" si="35"/>
        <v>0.10886399999999999</v>
      </c>
      <c r="R226" s="83">
        <f t="shared" si="35"/>
        <v>0.10886399999999999</v>
      </c>
      <c r="S226" s="83">
        <f t="shared" si="35"/>
        <v>0.10886399999999999</v>
      </c>
      <c r="U226" s="1" t="b">
        <f t="shared" si="31"/>
        <v>1</v>
      </c>
    </row>
    <row r="227" spans="1:21" x14ac:dyDescent="0.25">
      <c r="A227" s="2" t="s">
        <v>539</v>
      </c>
      <c r="B227" s="3" t="s">
        <v>471</v>
      </c>
      <c r="C227" s="2" t="s">
        <v>487</v>
      </c>
      <c r="D227" s="2" t="s">
        <v>532</v>
      </c>
      <c r="E227" s="96" t="s">
        <v>552</v>
      </c>
      <c r="F227" s="96" t="s">
        <v>495</v>
      </c>
      <c r="G227" s="100">
        <v>0.2</v>
      </c>
      <c r="H227" s="83">
        <v>0.2</v>
      </c>
      <c r="I227" s="83">
        <v>0.2</v>
      </c>
      <c r="J227" s="83">
        <v>0.2</v>
      </c>
      <c r="K227" s="83">
        <v>0.2</v>
      </c>
      <c r="L227" s="83"/>
      <c r="M227" s="83">
        <v>0.2</v>
      </c>
      <c r="N227" s="83">
        <v>0.2</v>
      </c>
      <c r="O227" s="83">
        <v>0.2</v>
      </c>
      <c r="P227" s="83"/>
      <c r="Q227" s="83">
        <v>0.2</v>
      </c>
      <c r="R227" s="83">
        <v>0.2</v>
      </c>
      <c r="S227" s="83">
        <v>0.2</v>
      </c>
      <c r="U227" s="1" t="b">
        <f t="shared" si="31"/>
        <v>1</v>
      </c>
    </row>
    <row r="228" spans="1:21" x14ac:dyDescent="0.25">
      <c r="A228" s="2" t="s">
        <v>540</v>
      </c>
      <c r="B228" s="3" t="s">
        <v>471</v>
      </c>
      <c r="C228" s="2" t="s">
        <v>487</v>
      </c>
      <c r="D228" s="2" t="s">
        <v>532</v>
      </c>
      <c r="E228" s="96" t="s">
        <v>553</v>
      </c>
      <c r="F228" s="96" t="s">
        <v>510</v>
      </c>
      <c r="G228" s="100" t="s">
        <v>476</v>
      </c>
      <c r="H228" s="83" t="s">
        <v>476</v>
      </c>
      <c r="I228" s="83" t="s">
        <v>476</v>
      </c>
      <c r="J228" s="83" t="s">
        <v>476</v>
      </c>
      <c r="K228" s="83" t="s">
        <v>476</v>
      </c>
      <c r="L228" s="83"/>
      <c r="M228" s="83" t="s">
        <v>476</v>
      </c>
      <c r="N228" s="83" t="s">
        <v>476</v>
      </c>
      <c r="O228" s="83" t="s">
        <v>476</v>
      </c>
      <c r="P228" s="83"/>
      <c r="Q228" s="83" t="s">
        <v>476</v>
      </c>
      <c r="R228" s="83" t="s">
        <v>476</v>
      </c>
      <c r="S228" s="83" t="s">
        <v>476</v>
      </c>
      <c r="U228" s="1" t="b">
        <f t="shared" si="31"/>
        <v>1</v>
      </c>
    </row>
    <row r="229" spans="1:21" x14ac:dyDescent="0.25">
      <c r="A229" s="2" t="s">
        <v>541</v>
      </c>
      <c r="B229" s="3" t="s">
        <v>471</v>
      </c>
      <c r="C229" s="2" t="s">
        <v>487</v>
      </c>
      <c r="D229" s="2" t="s">
        <v>532</v>
      </c>
      <c r="E229" s="96" t="s">
        <v>554</v>
      </c>
      <c r="F229" s="96" t="s">
        <v>510</v>
      </c>
      <c r="G229" s="100">
        <f>2*0.1</f>
        <v>0.2</v>
      </c>
      <c r="H229" s="83">
        <f t="shared" ref="H229:S229" si="36">2*0.1</f>
        <v>0.2</v>
      </c>
      <c r="I229" s="83">
        <f t="shared" si="36"/>
        <v>0.2</v>
      </c>
      <c r="J229" s="83">
        <f t="shared" si="36"/>
        <v>0.2</v>
      </c>
      <c r="K229" s="83">
        <f t="shared" si="36"/>
        <v>0.2</v>
      </c>
      <c r="L229" s="83"/>
      <c r="M229" s="83">
        <f t="shared" si="36"/>
        <v>0.2</v>
      </c>
      <c r="N229" s="83">
        <f t="shared" si="36"/>
        <v>0.2</v>
      </c>
      <c r="O229" s="83">
        <f t="shared" si="36"/>
        <v>0.2</v>
      </c>
      <c r="P229" s="83"/>
      <c r="Q229" s="83">
        <f t="shared" si="36"/>
        <v>0.2</v>
      </c>
      <c r="R229" s="83">
        <f t="shared" si="36"/>
        <v>0.2</v>
      </c>
      <c r="S229" s="83">
        <f t="shared" si="36"/>
        <v>0.2</v>
      </c>
      <c r="U229" s="1" t="b">
        <f t="shared" si="31"/>
        <v>1</v>
      </c>
    </row>
    <row r="230" spans="1:21" x14ac:dyDescent="0.25">
      <c r="A230" s="2" t="s">
        <v>542</v>
      </c>
      <c r="B230" s="3" t="s">
        <v>471</v>
      </c>
      <c r="C230" s="2" t="s">
        <v>487</v>
      </c>
      <c r="D230" s="2" t="s">
        <v>532</v>
      </c>
      <c r="E230" s="96" t="s">
        <v>555</v>
      </c>
      <c r="F230" s="96" t="s">
        <v>510</v>
      </c>
      <c r="G230" s="100">
        <v>1E-3</v>
      </c>
      <c r="H230" s="83">
        <v>1E-3</v>
      </c>
      <c r="I230" s="83">
        <v>1E-3</v>
      </c>
      <c r="J230" s="83">
        <v>1E-3</v>
      </c>
      <c r="K230" s="83">
        <v>1E-3</v>
      </c>
      <c r="L230" s="83"/>
      <c r="M230" s="83">
        <v>1E-3</v>
      </c>
      <c r="N230" s="83">
        <v>1E-3</v>
      </c>
      <c r="O230" s="83">
        <v>1E-3</v>
      </c>
      <c r="P230" s="83"/>
      <c r="Q230" s="83">
        <v>1E-3</v>
      </c>
      <c r="R230" s="83">
        <v>1E-3</v>
      </c>
      <c r="S230" s="83">
        <v>1E-3</v>
      </c>
      <c r="U230" s="1" t="b">
        <f t="shared" si="31"/>
        <v>1</v>
      </c>
    </row>
    <row r="231" spans="1:21" x14ac:dyDescent="0.25">
      <c r="A231" s="2" t="s">
        <v>543</v>
      </c>
      <c r="B231" s="3" t="s">
        <v>471</v>
      </c>
      <c r="C231" s="2" t="s">
        <v>487</v>
      </c>
      <c r="D231" s="2" t="s">
        <v>532</v>
      </c>
      <c r="E231" s="96" t="s">
        <v>556</v>
      </c>
      <c r="F231" s="96" t="s">
        <v>510</v>
      </c>
      <c r="G231" s="98">
        <v>1.0000000000000001E-5</v>
      </c>
      <c r="H231" s="83">
        <v>1.0000000000000001E-5</v>
      </c>
      <c r="I231" s="83">
        <v>1.0000000000000001E-5</v>
      </c>
      <c r="J231" s="83">
        <v>1.0000000000000001E-5</v>
      </c>
      <c r="K231" s="83">
        <f>0.00001 / 2</f>
        <v>5.0000000000000004E-6</v>
      </c>
      <c r="L231" s="83"/>
      <c r="M231" s="83">
        <f>0.00001 /2</f>
        <v>5.0000000000000004E-6</v>
      </c>
      <c r="N231" s="83">
        <f>0.00001 /2</f>
        <v>5.0000000000000004E-6</v>
      </c>
      <c r="O231" s="83">
        <f>0.00001 /2</f>
        <v>5.0000000000000004E-6</v>
      </c>
      <c r="P231" s="83"/>
      <c r="Q231" s="83">
        <f>0.00001 /2</f>
        <v>5.0000000000000004E-6</v>
      </c>
      <c r="R231" s="83">
        <f>0.00001 /2</f>
        <v>5.0000000000000004E-6</v>
      </c>
      <c r="S231" s="83">
        <f>0.00001 / 2</f>
        <v>5.0000000000000004E-6</v>
      </c>
      <c r="T231" s="1">
        <f>0.00001 / 2</f>
        <v>5.0000000000000004E-6</v>
      </c>
      <c r="U231" s="1" t="b">
        <f t="shared" si="31"/>
        <v>1</v>
      </c>
    </row>
    <row r="232" spans="1:21" x14ac:dyDescent="0.25">
      <c r="A232" s="2" t="s">
        <v>583</v>
      </c>
      <c r="B232" s="3" t="s">
        <v>471</v>
      </c>
      <c r="C232" s="2" t="s">
        <v>487</v>
      </c>
      <c r="D232" s="2" t="s">
        <v>532</v>
      </c>
      <c r="E232" s="96" t="s">
        <v>584</v>
      </c>
      <c r="F232" s="96" t="s">
        <v>510</v>
      </c>
      <c r="G232" s="98">
        <v>1.0000000000000001E-5</v>
      </c>
      <c r="H232" s="83">
        <v>1.0000000000000001E-5</v>
      </c>
      <c r="I232" s="83">
        <v>1.0000000000000001E-5</v>
      </c>
      <c r="J232" s="83">
        <v>1.0000000000000001E-5</v>
      </c>
      <c r="K232" s="83">
        <f>0.00001 / 2</f>
        <v>5.0000000000000004E-6</v>
      </c>
      <c r="L232" s="83"/>
      <c r="M232" s="83">
        <f>0.000000005 / 5</f>
        <v>1.0000000000000001E-9</v>
      </c>
      <c r="N232" s="83">
        <f>0.000000005 / 5</f>
        <v>1.0000000000000001E-9</v>
      </c>
      <c r="O232" s="83">
        <f>0.000000005 / 5</f>
        <v>1.0000000000000001E-9</v>
      </c>
      <c r="P232" s="83"/>
      <c r="Q232" s="83">
        <f>0.000000005 / 5</f>
        <v>1.0000000000000001E-9</v>
      </c>
      <c r="R232" s="83">
        <f>0.000000005 / 5</f>
        <v>1.0000000000000001E-9</v>
      </c>
      <c r="S232" s="83">
        <f>0.00001 / 2</f>
        <v>5.0000000000000004E-6</v>
      </c>
    </row>
    <row r="233" spans="1:21" x14ac:dyDescent="0.25">
      <c r="A233" s="2" t="s">
        <v>566</v>
      </c>
      <c r="B233" s="3" t="s">
        <v>471</v>
      </c>
      <c r="C233" s="3" t="s">
        <v>487</v>
      </c>
      <c r="D233" s="3" t="s">
        <v>532</v>
      </c>
      <c r="E233" s="30" t="s">
        <v>558</v>
      </c>
      <c r="F233" s="30" t="s">
        <v>559</v>
      </c>
      <c r="G233" s="83">
        <f t="shared" ref="G233:J233" si="37">0.00002 / 14 / 5</f>
        <v>2.8571428571428575E-7</v>
      </c>
      <c r="H233" s="83">
        <f t="shared" si="37"/>
        <v>2.8571428571428575E-7</v>
      </c>
      <c r="I233" s="83">
        <v>0</v>
      </c>
      <c r="J233" s="83">
        <f t="shared" si="37"/>
        <v>2.8571428571428575E-7</v>
      </c>
      <c r="K233" s="83">
        <v>0</v>
      </c>
      <c r="L233" s="83"/>
      <c r="M233" s="83">
        <v>0</v>
      </c>
      <c r="N233" s="83">
        <v>0</v>
      </c>
      <c r="O233" s="83">
        <v>0</v>
      </c>
      <c r="P233" s="83"/>
      <c r="Q233" s="83">
        <v>0</v>
      </c>
      <c r="R233" s="83">
        <v>0</v>
      </c>
      <c r="S233" s="83">
        <v>0</v>
      </c>
      <c r="U233" s="1" t="b">
        <f t="shared" si="31"/>
        <v>1</v>
      </c>
    </row>
    <row r="234" spans="1:21" x14ac:dyDescent="0.25">
      <c r="A234" s="2" t="s">
        <v>567</v>
      </c>
      <c r="B234" s="3" t="s">
        <v>471</v>
      </c>
      <c r="C234" s="3" t="s">
        <v>487</v>
      </c>
      <c r="D234" s="3" t="s">
        <v>532</v>
      </c>
      <c r="E234" s="30" t="s">
        <v>558</v>
      </c>
      <c r="F234" s="30" t="s">
        <v>559</v>
      </c>
      <c r="G234" s="83">
        <f t="shared" ref="G234:S234" si="38">0.00002 / 14 / 5 /10</f>
        <v>2.8571428571428575E-8</v>
      </c>
      <c r="H234" s="83">
        <f t="shared" si="38"/>
        <v>2.8571428571428575E-8</v>
      </c>
      <c r="I234" s="83">
        <f t="shared" si="38"/>
        <v>2.8571428571428575E-8</v>
      </c>
      <c r="J234" s="83">
        <f t="shared" si="38"/>
        <v>2.8571428571428575E-8</v>
      </c>
      <c r="K234" s="83">
        <f t="shared" si="38"/>
        <v>2.8571428571428575E-8</v>
      </c>
      <c r="L234" s="83"/>
      <c r="M234" s="83">
        <v>0</v>
      </c>
      <c r="N234" s="83">
        <v>0</v>
      </c>
      <c r="O234" s="83">
        <v>0</v>
      </c>
      <c r="P234" s="83"/>
      <c r="Q234" s="83">
        <v>0</v>
      </c>
      <c r="R234" s="83">
        <v>0</v>
      </c>
      <c r="S234" s="83">
        <f t="shared" si="38"/>
        <v>2.8571428571428575E-8</v>
      </c>
      <c r="U234" s="1" t="b">
        <f t="shared" si="31"/>
        <v>0</v>
      </c>
    </row>
  </sheetData>
  <conditionalFormatting sqref="G233:I2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S234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S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S210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S211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S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S21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S21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S21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S218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S221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S222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S226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S232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3:L2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3:S234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3:T223 S224 H223:R224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W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W129 H129:T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W130 H130:S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W132 H132:T13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W133 H133:S133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W138 H138:T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W144 H144:S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W160 H160:S160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W166 H166:S166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2025-04-10T07:17:54Z</dcterms:modified>
</cp:coreProperties>
</file>