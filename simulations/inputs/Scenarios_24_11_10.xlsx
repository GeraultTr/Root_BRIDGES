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5581\home\torisuten\package\Wheat-BRIDGES\Root_BRIDGES\simulations\inputs\"/>
    </mc:Choice>
  </mc:AlternateContent>
  <xr:revisionPtr revIDLastSave="0" documentId="13_ncr:1_{DD7010F0-625C-4947-BDF6-86F87F05EA7E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3" i="2" l="1"/>
  <c r="K231" i="2" l="1"/>
  <c r="K229" i="2"/>
  <c r="K227" i="2"/>
  <c r="K224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L220" i="2"/>
  <c r="L132" i="2"/>
  <c r="L138" i="2"/>
  <c r="L129" i="2"/>
  <c r="L221" i="2" l="1"/>
  <c r="L219" i="2"/>
  <c r="L229" i="2" l="1"/>
  <c r="L222" i="2"/>
  <c r="L210" i="2"/>
  <c r="G107" i="2" l="1"/>
  <c r="H107" i="2"/>
  <c r="I107" i="2"/>
  <c r="J107" i="2"/>
  <c r="L107" i="2"/>
  <c r="G108" i="2"/>
  <c r="H108" i="2"/>
  <c r="I108" i="2"/>
  <c r="J108" i="2"/>
  <c r="L108" i="2"/>
  <c r="G109" i="2"/>
  <c r="H109" i="2"/>
  <c r="I109" i="2"/>
  <c r="J109" i="2"/>
  <c r="L109" i="2"/>
  <c r="G110" i="2"/>
  <c r="H110" i="2"/>
  <c r="I110" i="2"/>
  <c r="J110" i="2"/>
  <c r="L110" i="2"/>
  <c r="G116" i="2"/>
  <c r="H116" i="2"/>
  <c r="I116" i="2"/>
  <c r="J116" i="2"/>
  <c r="L116" i="2"/>
  <c r="G117" i="2"/>
  <c r="H117" i="2"/>
  <c r="I117" i="2"/>
  <c r="J117" i="2"/>
  <c r="L117" i="2"/>
  <c r="G119" i="2"/>
  <c r="H119" i="2"/>
  <c r="I119" i="2"/>
  <c r="J119" i="2"/>
  <c r="L119" i="2"/>
  <c r="G120" i="2"/>
  <c r="H120" i="2"/>
  <c r="I120" i="2"/>
  <c r="J120" i="2"/>
  <c r="L120" i="2"/>
  <c r="H124" i="2"/>
  <c r="H129" i="2"/>
  <c r="I129" i="2"/>
  <c r="J129" i="2"/>
  <c r="H130" i="2"/>
  <c r="I130" i="2"/>
  <c r="J130" i="2"/>
  <c r="L130" i="2"/>
  <c r="H210" i="2"/>
  <c r="I210" i="2"/>
  <c r="J210" i="2"/>
  <c r="H212" i="2"/>
  <c r="I212" i="2"/>
  <c r="L212" i="2"/>
  <c r="G216" i="2"/>
  <c r="H216" i="2"/>
  <c r="I216" i="2"/>
  <c r="J216" i="2"/>
  <c r="L216" i="2"/>
  <c r="I218" i="2"/>
  <c r="L218" i="2"/>
  <c r="H219" i="2"/>
  <c r="I219" i="2"/>
  <c r="J219" i="2"/>
  <c r="H222" i="2"/>
  <c r="I222" i="2"/>
  <c r="J222" i="2"/>
  <c r="G223" i="2"/>
  <c r="G224" i="2"/>
  <c r="H224" i="2"/>
  <c r="I224" i="2"/>
  <c r="J224" i="2"/>
  <c r="L224" i="2"/>
  <c r="G227" i="2"/>
  <c r="H227" i="2"/>
  <c r="I227" i="2"/>
  <c r="J227" i="2"/>
  <c r="L227" i="2"/>
  <c r="G230" i="2"/>
  <c r="H230" i="2"/>
  <c r="J230" i="2"/>
  <c r="G231" i="2"/>
  <c r="H231" i="2"/>
  <c r="I231" i="2"/>
  <c r="J231" i="2"/>
  <c r="L231" i="2"/>
  <c r="N129" i="2" l="1"/>
  <c r="O129" i="2"/>
  <c r="N130" i="2"/>
  <c r="O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<sst xmlns="http://schemas.openxmlformats.org/spreadsheetml/2006/main" count="2021" uniqueCount="576">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</sst>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1"/>
  <sheetViews>
    <sheetView tabSelected="1" zoomScale="89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L15" sqref="L15"/>
    </sheetView>
  </sheetViews>
  <sheetFormatPr defaultColWidth="11.44140625" defaultRowHeight="14.4" x14ac:dyDescent="0.3"/>
  <cols>
    <col min="1" max="1" width="32.6640625" style="1" customWidth="1"/>
    <col min="2" max="4" width="15" style="1" customWidth="1"/>
    <col min="5" max="5" width="23.33203125" customWidth="1"/>
    <col min="6" max="6" width="22.6640625" customWidth="1"/>
    <col min="7" max="7" width="19.5546875" style="37" customWidth="1"/>
    <col min="8" max="15" width="39.88671875" style="1" customWidth="1"/>
  </cols>
  <sheetData>
    <row r="1" spans="1:15" s="1" customFormat="1" x14ac:dyDescent="0.3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 t="s">
        <v>568</v>
      </c>
      <c r="M1" s="1" t="s">
        <v>570</v>
      </c>
      <c r="N1" s="97" t="s">
        <v>522</v>
      </c>
      <c r="O1" s="97" t="s">
        <v>523</v>
      </c>
    </row>
    <row r="2" spans="1:15" s="1" customFormat="1" x14ac:dyDescent="0.3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N2" s="36" t="s">
        <v>528</v>
      </c>
      <c r="O2" s="36" t="s">
        <v>476</v>
      </c>
    </row>
    <row r="3" spans="1:15" s="1" customFormat="1" ht="38.4" customHeight="1" x14ac:dyDescent="0.3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 t="s">
        <v>573</v>
      </c>
      <c r="N3" s="36" t="s">
        <v>489</v>
      </c>
      <c r="O3" s="36" t="s">
        <v>489</v>
      </c>
    </row>
    <row r="4" spans="1:15" s="1" customFormat="1" ht="15" customHeight="1" x14ac:dyDescent="0.3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N4" s="36" t="s">
        <v>482</v>
      </c>
      <c r="O4" s="36" t="s">
        <v>482</v>
      </c>
    </row>
    <row r="5" spans="1:15" s="1" customFormat="1" ht="15" customHeight="1" x14ac:dyDescent="0.3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N5" s="36" t="s">
        <v>494</v>
      </c>
      <c r="O5" s="36" t="s">
        <v>494</v>
      </c>
    </row>
    <row r="6" spans="1:15" s="1" customFormat="1" ht="39.6" customHeight="1" x14ac:dyDescent="0.3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 t="s">
        <v>573</v>
      </c>
      <c r="N6" s="36" t="s">
        <v>521</v>
      </c>
      <c r="O6" s="36" t="s">
        <v>521</v>
      </c>
    </row>
    <row r="7" spans="1:15" s="1" customFormat="1" ht="15" customHeight="1" x14ac:dyDescent="0.3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N7" s="36" t="s">
        <v>494</v>
      </c>
      <c r="O7" s="36" t="s">
        <v>494</v>
      </c>
    </row>
    <row r="8" spans="1:15" s="1" customFormat="1" ht="15" customHeight="1" x14ac:dyDescent="0.3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N8" s="36">
        <v>0</v>
      </c>
      <c r="O8" s="36">
        <v>0</v>
      </c>
    </row>
    <row r="9" spans="1:15" x14ac:dyDescent="0.3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N9" s="77" t="s">
        <v>87</v>
      </c>
      <c r="O9" s="77" t="s">
        <v>87</v>
      </c>
    </row>
    <row r="10" spans="1:15" x14ac:dyDescent="0.3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N10" s="77">
        <v>1</v>
      </c>
      <c r="O10" s="77">
        <v>1</v>
      </c>
    </row>
    <row r="11" spans="1:15" x14ac:dyDescent="0.3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N11" s="77" t="s">
        <v>88</v>
      </c>
      <c r="O11" s="77" t="s">
        <v>88</v>
      </c>
    </row>
    <row r="12" spans="1:15" x14ac:dyDescent="0.3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N12" s="85">
        <v>180</v>
      </c>
      <c r="O12" s="85">
        <v>180</v>
      </c>
    </row>
    <row r="13" spans="1:15" x14ac:dyDescent="0.3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N13" s="78">
        <v>4.1666666999999998E-2</v>
      </c>
      <c r="O13" s="78">
        <v>4.1666666999999998E-2</v>
      </c>
    </row>
    <row r="14" spans="1:15" x14ac:dyDescent="0.3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N14" s="79">
        <v>4.1666666999999998E-2</v>
      </c>
      <c r="O14" s="79">
        <v>4.1666666999999998E-2</v>
      </c>
    </row>
    <row r="15" spans="1:15" x14ac:dyDescent="0.3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N15" s="77">
        <v>1</v>
      </c>
      <c r="O15" s="77">
        <v>1</v>
      </c>
    </row>
    <row r="16" spans="1:15" x14ac:dyDescent="0.3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N16" s="77">
        <v>0</v>
      </c>
      <c r="O16" s="77">
        <v>0</v>
      </c>
    </row>
    <row r="17" spans="1:15" x14ac:dyDescent="0.3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N17" s="77" t="s">
        <v>88</v>
      </c>
      <c r="O17" s="77" t="s">
        <v>88</v>
      </c>
    </row>
    <row r="18" spans="1:15" x14ac:dyDescent="0.3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N18" s="80">
        <v>5.0000000000000001E-9</v>
      </c>
      <c r="O18" s="80">
        <v>5.0000000000000001E-9</v>
      </c>
    </row>
    <row r="19" spans="1:15" x14ac:dyDescent="0.3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N19" s="77">
        <v>10</v>
      </c>
      <c r="O19" s="77">
        <v>10</v>
      </c>
    </row>
    <row r="20" spans="1:15" x14ac:dyDescent="0.3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N20" s="77" t="s">
        <v>88</v>
      </c>
      <c r="O20" s="77" t="s">
        <v>88</v>
      </c>
    </row>
    <row r="21" spans="1:15" x14ac:dyDescent="0.3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N21" s="77" t="s">
        <v>88</v>
      </c>
      <c r="O21" s="77" t="s">
        <v>88</v>
      </c>
    </row>
    <row r="22" spans="1:15" x14ac:dyDescent="0.3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N22" s="77" t="s">
        <v>88</v>
      </c>
      <c r="O22" s="77" t="s">
        <v>88</v>
      </c>
    </row>
    <row r="23" spans="1:15" x14ac:dyDescent="0.3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N23" s="77">
        <v>86400</v>
      </c>
      <c r="O23" s="77">
        <v>86400</v>
      </c>
    </row>
    <row r="24" spans="1:15" x14ac:dyDescent="0.3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N24" s="77" t="s">
        <v>87</v>
      </c>
      <c r="O24" s="77" t="s">
        <v>87</v>
      </c>
    </row>
    <row r="25" spans="1:15" x14ac:dyDescent="0.3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N25" s="77">
        <v>3</v>
      </c>
      <c r="O25" s="77">
        <v>3</v>
      </c>
    </row>
    <row r="26" spans="1:15" x14ac:dyDescent="0.3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N26" s="81" t="s">
        <v>88</v>
      </c>
      <c r="O26" s="81" t="s">
        <v>88</v>
      </c>
    </row>
    <row r="27" spans="1:15" x14ac:dyDescent="0.3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N27" s="81" t="s">
        <v>88</v>
      </c>
      <c r="O27" s="81" t="s">
        <v>88</v>
      </c>
    </row>
    <row r="28" spans="1:15" x14ac:dyDescent="0.3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N28" s="77" t="s">
        <v>88</v>
      </c>
      <c r="O28" s="77" t="s">
        <v>88</v>
      </c>
    </row>
    <row r="29" spans="1:15" x14ac:dyDescent="0.3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N29" s="81" t="s">
        <v>88</v>
      </c>
      <c r="O29" s="81" t="s">
        <v>88</v>
      </c>
    </row>
    <row r="30" spans="1:15" x14ac:dyDescent="0.3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N30" s="81" t="s">
        <v>88</v>
      </c>
      <c r="O30" s="81" t="s">
        <v>88</v>
      </c>
    </row>
    <row r="31" spans="1:15" x14ac:dyDescent="0.3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N31" s="77" t="s">
        <v>88</v>
      </c>
      <c r="O31" s="77" t="s">
        <v>88</v>
      </c>
    </row>
    <row r="32" spans="1:15" x14ac:dyDescent="0.3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N32" s="77">
        <v>0.33</v>
      </c>
      <c r="O32" s="77">
        <v>0.33</v>
      </c>
    </row>
    <row r="33" spans="1:15" x14ac:dyDescent="0.3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N33" s="77" t="s">
        <v>88</v>
      </c>
      <c r="O33" s="77" t="s">
        <v>88</v>
      </c>
    </row>
    <row r="34" spans="1:15" x14ac:dyDescent="0.3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N34" s="77" t="s">
        <v>88</v>
      </c>
      <c r="O34" s="77" t="s">
        <v>88</v>
      </c>
    </row>
    <row r="35" spans="1:15" x14ac:dyDescent="0.3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N35" s="77" t="s">
        <v>88</v>
      </c>
      <c r="O35" s="77" t="s">
        <v>88</v>
      </c>
    </row>
    <row r="36" spans="1:15" x14ac:dyDescent="0.3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N36" s="77" t="s">
        <v>87</v>
      </c>
      <c r="O36" s="77" t="s">
        <v>87</v>
      </c>
    </row>
    <row r="37" spans="1:15" x14ac:dyDescent="0.3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N37" s="85" t="s">
        <v>433</v>
      </c>
      <c r="O37" s="85" t="s">
        <v>433</v>
      </c>
    </row>
    <row r="38" spans="1:15" x14ac:dyDescent="0.3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N38" s="80">
        <v>9.9999999999999995E-7</v>
      </c>
      <c r="O38" s="80">
        <v>9.9999999999999995E-7</v>
      </c>
    </row>
    <row r="39" spans="1:15" x14ac:dyDescent="0.3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N39" s="86">
        <v>1E-3</v>
      </c>
      <c r="O39" s="86">
        <v>1E-3</v>
      </c>
    </row>
    <row r="40" spans="1:15" x14ac:dyDescent="0.3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N40" s="77" t="s">
        <v>87</v>
      </c>
      <c r="O40" s="77" t="s">
        <v>87</v>
      </c>
    </row>
    <row r="41" spans="1:15" x14ac:dyDescent="0.3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N41" s="77" t="s">
        <v>89</v>
      </c>
      <c r="O41" s="77" t="s">
        <v>89</v>
      </c>
    </row>
    <row r="42" spans="1:15" x14ac:dyDescent="0.3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N42" s="77" t="s">
        <v>87</v>
      </c>
      <c r="O42" s="77" t="s">
        <v>87</v>
      </c>
    </row>
    <row r="43" spans="1:15" x14ac:dyDescent="0.3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N43" s="77" t="s">
        <v>88</v>
      </c>
      <c r="O43" s="77" t="s">
        <v>88</v>
      </c>
    </row>
    <row r="44" spans="1:15" x14ac:dyDescent="0.3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N44" s="77">
        <v>120</v>
      </c>
      <c r="O44" s="77">
        <v>120</v>
      </c>
    </row>
    <row r="45" spans="1:15" x14ac:dyDescent="0.3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N45" s="77">
        <v>0</v>
      </c>
      <c r="O45" s="77">
        <v>0</v>
      </c>
    </row>
    <row r="46" spans="1:15" x14ac:dyDescent="0.3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N46" s="77">
        <v>0</v>
      </c>
      <c r="O46" s="77">
        <v>0</v>
      </c>
    </row>
    <row r="47" spans="1:15" x14ac:dyDescent="0.3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N47" s="77">
        <v>-0.1</v>
      </c>
      <c r="O47" s="77">
        <v>-0.1</v>
      </c>
    </row>
    <row r="48" spans="1:15" x14ac:dyDescent="0.3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N48" s="77">
        <v>-0.2</v>
      </c>
      <c r="O48" s="77">
        <v>-0.2</v>
      </c>
    </row>
    <row r="49" spans="1:15" x14ac:dyDescent="0.3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N49" s="77">
        <v>0.4</v>
      </c>
      <c r="O49" s="77">
        <v>0.4</v>
      </c>
    </row>
    <row r="50" spans="1:15" x14ac:dyDescent="0.3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N50" s="77">
        <v>0</v>
      </c>
      <c r="O50" s="77">
        <v>0</v>
      </c>
    </row>
    <row r="51" spans="1:15" x14ac:dyDescent="0.3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N51" s="77">
        <v>1200</v>
      </c>
      <c r="O51" s="77">
        <v>1200</v>
      </c>
    </row>
    <row r="52" spans="1:15" x14ac:dyDescent="0.3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N52" s="77">
        <v>1200</v>
      </c>
      <c r="O52" s="77">
        <v>1200</v>
      </c>
    </row>
    <row r="53" spans="1:15" x14ac:dyDescent="0.3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N53" s="35" t="s">
        <v>460</v>
      </c>
      <c r="O53" s="35" t="s">
        <v>460</v>
      </c>
    </row>
    <row r="54" spans="1:15" x14ac:dyDescent="0.3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N54" s="77" t="s">
        <v>87</v>
      </c>
      <c r="O54" s="77" t="s">
        <v>87</v>
      </c>
    </row>
    <row r="55" spans="1:15" x14ac:dyDescent="0.3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N55" s="77" t="s">
        <v>87</v>
      </c>
      <c r="O55" s="77" t="s">
        <v>87</v>
      </c>
    </row>
    <row r="56" spans="1:15" x14ac:dyDescent="0.3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N56" s="77">
        <v>0</v>
      </c>
      <c r="O56" s="77">
        <v>0</v>
      </c>
    </row>
    <row r="57" spans="1:15" x14ac:dyDescent="0.3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N57" s="77">
        <v>0.5</v>
      </c>
      <c r="O57" s="77">
        <v>0.5</v>
      </c>
    </row>
    <row r="58" spans="1:15" x14ac:dyDescent="0.3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N58" s="77">
        <v>0.05</v>
      </c>
      <c r="O58" s="77">
        <v>0.05</v>
      </c>
    </row>
    <row r="59" spans="1:15" x14ac:dyDescent="0.3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N59" s="80">
        <v>1E-3</v>
      </c>
      <c r="O59" s="80">
        <v>1E-3</v>
      </c>
    </row>
    <row r="60" spans="1:15" x14ac:dyDescent="0.3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N60" s="77">
        <v>0</v>
      </c>
      <c r="O60" s="77">
        <v>0</v>
      </c>
    </row>
    <row r="61" spans="1:15" x14ac:dyDescent="0.3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N61" s="77">
        <v>1E-4</v>
      </c>
      <c r="O61" s="77">
        <v>1E-4</v>
      </c>
    </row>
    <row r="62" spans="1:15" x14ac:dyDescent="0.3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N62" s="77">
        <v>1E-4</v>
      </c>
      <c r="O62" s="77">
        <v>1E-4</v>
      </c>
    </row>
    <row r="63" spans="1:15" x14ac:dyDescent="0.3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N63" s="77">
        <v>6.9999999999999999E-4</v>
      </c>
      <c r="O63" s="77">
        <v>6.9999999999999999E-4</v>
      </c>
    </row>
    <row r="64" spans="1:15" x14ac:dyDescent="0.3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N64" s="77">
        <v>1.22E-4</v>
      </c>
      <c r="O64" s="77">
        <v>1.22E-4</v>
      </c>
    </row>
    <row r="65" spans="1:15" x14ac:dyDescent="0.3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N65" s="77">
        <v>1</v>
      </c>
      <c r="O65" s="77">
        <v>1</v>
      </c>
    </row>
    <row r="66" spans="1:15" x14ac:dyDescent="0.3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N66" s="77">
        <v>0.95</v>
      </c>
      <c r="O66" s="77">
        <v>0.95</v>
      </c>
    </row>
    <row r="67" spans="1:15" x14ac:dyDescent="0.3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N67" s="77" t="s">
        <v>88</v>
      </c>
      <c r="O67" s="77" t="s">
        <v>88</v>
      </c>
    </row>
    <row r="68" spans="1:15" x14ac:dyDescent="0.3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N68" s="77">
        <v>5</v>
      </c>
      <c r="O68" s="77">
        <v>5</v>
      </c>
    </row>
    <row r="69" spans="1:15" x14ac:dyDescent="0.3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N69" s="77" t="s">
        <v>88</v>
      </c>
      <c r="O69" s="77" t="s">
        <v>88</v>
      </c>
    </row>
    <row r="70" spans="1:15" x14ac:dyDescent="0.3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N70" s="77">
        <v>50</v>
      </c>
      <c r="O70" s="77">
        <v>50</v>
      </c>
    </row>
    <row r="71" spans="1:15" x14ac:dyDescent="0.3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N71" s="78">
        <v>1453890.8941884842</v>
      </c>
      <c r="O71" s="78">
        <v>1453890.8941884842</v>
      </c>
    </row>
    <row r="72" spans="1:15" x14ac:dyDescent="0.3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N72" s="78">
        <v>1.3888888888888888E-5</v>
      </c>
      <c r="O72" s="78">
        <v>1.3888888888888888E-5</v>
      </c>
    </row>
    <row r="73" spans="1:15" x14ac:dyDescent="0.3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N73" s="79">
        <v>6.5011574074074071E-4</v>
      </c>
      <c r="O73" s="79">
        <v>6.5011574074074071E-4</v>
      </c>
    </row>
    <row r="74" spans="1:15" x14ac:dyDescent="0.3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N74" s="85">
        <v>4.7400000000000003E-3</v>
      </c>
      <c r="O74" s="85">
        <v>4.7400000000000003E-3</v>
      </c>
    </row>
    <row r="75" spans="1:15" x14ac:dyDescent="0.3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v>282528</v>
      </c>
      <c r="N75" s="79">
        <v>282528</v>
      </c>
      <c r="O75" s="79">
        <v>282528</v>
      </c>
    </row>
    <row r="76" spans="1:15" x14ac:dyDescent="0.3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N76" s="85">
        <v>0.56999999999999995</v>
      </c>
      <c r="O76" s="85">
        <v>0.56999999999999995</v>
      </c>
    </row>
    <row r="77" spans="1:15" x14ac:dyDescent="0.3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N77" s="87">
        <v>0.16</v>
      </c>
      <c r="O77" s="87">
        <v>0.16</v>
      </c>
    </row>
    <row r="78" spans="1:15" x14ac:dyDescent="0.3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N78" s="77">
        <v>0</v>
      </c>
      <c r="O78" s="77">
        <v>0</v>
      </c>
    </row>
    <row r="79" spans="1:15" x14ac:dyDescent="0.3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N79" s="78">
        <v>745476480000</v>
      </c>
      <c r="O79" s="78">
        <v>745476480000</v>
      </c>
    </row>
    <row r="80" spans="1:15" x14ac:dyDescent="0.3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N80" s="77">
        <v>100</v>
      </c>
      <c r="O80" s="77">
        <v>100</v>
      </c>
    </row>
    <row r="81" spans="1:15" x14ac:dyDescent="0.3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88</v>
      </c>
      <c r="N81" s="77" t="s">
        <v>88</v>
      </c>
      <c r="O81" s="77" t="s">
        <v>88</v>
      </c>
    </row>
    <row r="82" spans="1:15" x14ac:dyDescent="0.3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N82" s="85">
        <v>21600</v>
      </c>
      <c r="O82" s="85">
        <v>21600</v>
      </c>
    </row>
    <row r="83" spans="1:15" x14ac:dyDescent="0.3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N83" s="77">
        <v>0.5</v>
      </c>
      <c r="O83" s="77">
        <v>0.5</v>
      </c>
    </row>
    <row r="84" spans="1:15" x14ac:dyDescent="0.3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N84" s="85">
        <v>60479.999999999993</v>
      </c>
      <c r="O84" s="85">
        <v>60479.999999999993</v>
      </c>
    </row>
    <row r="85" spans="1:15" x14ac:dyDescent="0.3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N85" s="77">
        <v>0.85</v>
      </c>
      <c r="O85" s="77">
        <v>0.85</v>
      </c>
    </row>
    <row r="86" spans="1:15" x14ac:dyDescent="0.3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N86" s="77">
        <v>518400</v>
      </c>
      <c r="O86" s="77">
        <v>518400</v>
      </c>
    </row>
    <row r="87" spans="1:15" x14ac:dyDescent="0.3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N87" s="77">
        <v>5184000</v>
      </c>
      <c r="O87" s="77">
        <v>5184000</v>
      </c>
    </row>
    <row r="88" spans="1:15" x14ac:dyDescent="0.3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N88" s="86">
        <v>50000</v>
      </c>
      <c r="O88" s="86">
        <v>50000</v>
      </c>
    </row>
    <row r="89" spans="1:15" x14ac:dyDescent="0.3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N89" s="77">
        <v>140000</v>
      </c>
      <c r="O89" s="77">
        <v>140000</v>
      </c>
    </row>
    <row r="90" spans="1:15" x14ac:dyDescent="0.3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N90" s="78">
        <v>3.6636136999999999E-2</v>
      </c>
      <c r="O90" s="78">
        <v>3.6636136999999999E-2</v>
      </c>
    </row>
    <row r="91" spans="1:15" x14ac:dyDescent="0.3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N91" s="77">
        <v>4.4999999999999997E-3</v>
      </c>
      <c r="O91" s="77">
        <v>4.4999999999999997E-3</v>
      </c>
    </row>
    <row r="92" spans="1:15" x14ac:dyDescent="0.3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N92" s="77">
        <v>0.05</v>
      </c>
      <c r="O92" s="77">
        <v>0.05</v>
      </c>
    </row>
    <row r="93" spans="1:15" x14ac:dyDescent="0.3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N93" s="77">
        <v>6.0000000000000002E-6</v>
      </c>
      <c r="O93" s="77">
        <v>6.0000000000000002E-6</v>
      </c>
    </row>
    <row r="94" spans="1:15" x14ac:dyDescent="0.3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N94" s="77">
        <v>0</v>
      </c>
      <c r="O94" s="77">
        <v>0</v>
      </c>
    </row>
    <row r="95" spans="1:15" x14ac:dyDescent="0.3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N95" s="77">
        <v>374999999.99999994</v>
      </c>
      <c r="O95" s="77">
        <v>374999999.99999994</v>
      </c>
    </row>
    <row r="96" spans="1:15" x14ac:dyDescent="0.3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N96" s="78">
        <v>3.7037037037037038E-3</v>
      </c>
      <c r="O96" s="78">
        <v>3.7037037037037038E-3</v>
      </c>
    </row>
    <row r="97" spans="1:15" x14ac:dyDescent="0.3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N97" s="77">
        <v>165600</v>
      </c>
      <c r="O97" s="77">
        <v>165600</v>
      </c>
    </row>
    <row r="98" spans="1:15" x14ac:dyDescent="0.3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N98" s="77">
        <v>20</v>
      </c>
      <c r="O98" s="77">
        <v>20</v>
      </c>
    </row>
    <row r="99" spans="1:15" x14ac:dyDescent="0.3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N99" s="77">
        <v>1</v>
      </c>
      <c r="O99" s="77">
        <v>1</v>
      </c>
    </row>
    <row r="100" spans="1:15" x14ac:dyDescent="0.3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N100" s="77">
        <v>21</v>
      </c>
      <c r="O100" s="77">
        <v>21</v>
      </c>
    </row>
    <row r="101" spans="1:15" x14ac:dyDescent="0.3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N101" s="77">
        <v>0.64</v>
      </c>
      <c r="O101" s="77">
        <v>0.64</v>
      </c>
    </row>
    <row r="102" spans="1:15" x14ac:dyDescent="0.3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N102" s="77">
        <v>8</v>
      </c>
      <c r="O102" s="77">
        <v>8</v>
      </c>
    </row>
    <row r="103" spans="1:15" x14ac:dyDescent="0.3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N103" s="77">
        <v>10</v>
      </c>
      <c r="O103" s="77">
        <v>10</v>
      </c>
    </row>
    <row r="104" spans="1:15" x14ac:dyDescent="0.3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N104" s="77">
        <v>8</v>
      </c>
      <c r="O104" s="77">
        <v>8</v>
      </c>
    </row>
    <row r="105" spans="1:15" x14ac:dyDescent="0.3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N105" s="77">
        <v>1</v>
      </c>
      <c r="O105" s="77">
        <v>1</v>
      </c>
    </row>
    <row r="106" spans="1:15" x14ac:dyDescent="0.3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N106" s="77">
        <v>0.5</v>
      </c>
      <c r="O106" s="77">
        <v>0.5</v>
      </c>
    </row>
    <row r="107" spans="1:15" x14ac:dyDescent="0.3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L107" si="0">G105</f>
        <v>1</v>
      </c>
      <c r="H107" s="58">
        <f t="shared" si="0"/>
        <v>1</v>
      </c>
      <c r="I107" s="58">
        <f t="shared" si="0"/>
        <v>1</v>
      </c>
      <c r="J107" s="58">
        <f t="shared" si="0"/>
        <v>1</v>
      </c>
      <c r="K107" s="58">
        <f t="shared" ref="K107" si="1">K105</f>
        <v>1</v>
      </c>
      <c r="L107" s="58">
        <f t="shared" si="0"/>
        <v>1</v>
      </c>
      <c r="N107" s="58">
        <v>1</v>
      </c>
      <c r="O107" s="58">
        <v>1</v>
      </c>
    </row>
    <row r="108" spans="1:15" x14ac:dyDescent="0.3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K108" s="58">
        <f>150*K105</f>
        <v>150</v>
      </c>
      <c r="L108" s="58">
        <f>150*L105</f>
        <v>150</v>
      </c>
      <c r="N108" s="58">
        <v>150</v>
      </c>
      <c r="O108" s="58">
        <v>150</v>
      </c>
    </row>
    <row r="109" spans="1:15" x14ac:dyDescent="0.3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L109" si="2">G100</f>
        <v>21</v>
      </c>
      <c r="H109" s="58">
        <f t="shared" si="2"/>
        <v>21</v>
      </c>
      <c r="I109" s="58">
        <f t="shared" si="2"/>
        <v>21</v>
      </c>
      <c r="J109" s="58">
        <f t="shared" si="2"/>
        <v>21</v>
      </c>
      <c r="K109" s="58">
        <f t="shared" ref="K109" si="3">K100</f>
        <v>21</v>
      </c>
      <c r="L109" s="58">
        <f t="shared" si="2"/>
        <v>21</v>
      </c>
      <c r="N109" s="58">
        <v>21</v>
      </c>
      <c r="O109" s="58">
        <v>21</v>
      </c>
    </row>
    <row r="110" spans="1:15" x14ac:dyDescent="0.3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K110" s="58">
        <f>70*K100</f>
        <v>1470</v>
      </c>
      <c r="L110" s="58">
        <f>70*L100</f>
        <v>1470</v>
      </c>
      <c r="N110" s="58">
        <v>1470</v>
      </c>
      <c r="O110" s="58">
        <v>1470</v>
      </c>
    </row>
    <row r="111" spans="1:15" x14ac:dyDescent="0.3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N111" s="77">
        <v>0</v>
      </c>
      <c r="O111" s="77">
        <v>0</v>
      </c>
    </row>
    <row r="112" spans="1:15" x14ac:dyDescent="0.3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N112" s="82">
        <v>1589759.9999999998</v>
      </c>
      <c r="O112" s="82">
        <v>1589759.9999999998</v>
      </c>
    </row>
    <row r="113" spans="1:15" x14ac:dyDescent="0.3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N113" s="82">
        <v>6171428.5714285718</v>
      </c>
      <c r="O113" s="82">
        <v>6171428.5714285718</v>
      </c>
    </row>
    <row r="114" spans="1:15" x14ac:dyDescent="0.3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N114" s="82">
        <v>6171428.5714285718</v>
      </c>
      <c r="O114" s="82">
        <v>6171428.5714285718</v>
      </c>
    </row>
    <row r="115" spans="1:15" x14ac:dyDescent="0.3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N115" s="82">
        <v>100</v>
      </c>
      <c r="O115" s="82">
        <v>100</v>
      </c>
    </row>
    <row r="116" spans="1:15" ht="14.4" customHeight="1" x14ac:dyDescent="0.3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K116" s="67">
        <f>0.1 * 3.25 * (60*60*24)</f>
        <v>28080</v>
      </c>
      <c r="L116" s="67">
        <f>0.1 * 3.25 * (60*60*24)</f>
        <v>28080</v>
      </c>
      <c r="N116" s="67">
        <v>28080</v>
      </c>
      <c r="O116" s="67">
        <v>28080</v>
      </c>
    </row>
    <row r="117" spans="1:15" x14ac:dyDescent="0.3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K117" s="67">
        <f>1.11 / 10</f>
        <v>0.11100000000000002</v>
      </c>
      <c r="L117" s="67">
        <f>1.11 / 10</f>
        <v>0.11100000000000002</v>
      </c>
      <c r="N117" s="67">
        <v>0.11100000000000002</v>
      </c>
      <c r="O117" s="67">
        <v>0.11100000000000002</v>
      </c>
    </row>
    <row r="118" spans="1:15" x14ac:dyDescent="0.3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N118" s="82">
        <v>100</v>
      </c>
      <c r="O118" s="82">
        <v>100</v>
      </c>
    </row>
    <row r="119" spans="1:15" ht="14.4" customHeight="1" x14ac:dyDescent="0.3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L119" si="4">5.32 * (60*60*24)</f>
        <v>459648</v>
      </c>
      <c r="H119" s="67">
        <f t="shared" si="4"/>
        <v>459648</v>
      </c>
      <c r="I119" s="67">
        <f t="shared" si="4"/>
        <v>459648</v>
      </c>
      <c r="J119" s="67">
        <f t="shared" si="4"/>
        <v>459648</v>
      </c>
      <c r="K119" s="67">
        <f t="shared" si="4"/>
        <v>459648</v>
      </c>
      <c r="L119" s="67">
        <f t="shared" si="4"/>
        <v>459648</v>
      </c>
      <c r="N119" s="67">
        <v>459648</v>
      </c>
      <c r="O119" s="67">
        <v>459648</v>
      </c>
    </row>
    <row r="120" spans="1:15" x14ac:dyDescent="0.3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K120" s="67">
        <f>1.11/8</f>
        <v>0.13875000000000001</v>
      </c>
      <c r="L120" s="67">
        <f>1.11/8</f>
        <v>0.13875000000000001</v>
      </c>
      <c r="N120" s="67">
        <v>0.13875000000000001</v>
      </c>
      <c r="O120" s="67">
        <v>0.13875000000000001</v>
      </c>
    </row>
    <row r="121" spans="1:15" x14ac:dyDescent="0.3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N121" s="82">
        <v>21600</v>
      </c>
      <c r="O121" s="82">
        <v>21600</v>
      </c>
    </row>
    <row r="122" spans="1:15" x14ac:dyDescent="0.3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N122" s="88">
        <v>43200</v>
      </c>
      <c r="O122" s="88">
        <v>43200</v>
      </c>
    </row>
    <row r="123" spans="1:15" x14ac:dyDescent="0.3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N123" s="77">
        <v>0.8</v>
      </c>
      <c r="O123" s="77">
        <v>0.8</v>
      </c>
    </row>
    <row r="124" spans="1:15" x14ac:dyDescent="0.3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N124" s="78">
        <v>2.0833333333333335E-4</v>
      </c>
      <c r="O124" s="78">
        <v>2.0833333333333335E-4</v>
      </c>
    </row>
    <row r="125" spans="1:15" x14ac:dyDescent="0.3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N125" s="77">
        <v>5.7899999999999998E-7</v>
      </c>
      <c r="O125" s="77">
        <v>5.7899999999999998E-7</v>
      </c>
    </row>
    <row r="126" spans="1:15" x14ac:dyDescent="0.3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N126" s="78">
        <v>2.0833333333333335E-4</v>
      </c>
      <c r="O126" s="78">
        <v>2.0833333333333335E-4</v>
      </c>
    </row>
    <row r="127" spans="1:15" x14ac:dyDescent="0.3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N127" s="78">
        <v>0</v>
      </c>
      <c r="O127" s="78">
        <v>0</v>
      </c>
    </row>
    <row r="128" spans="1:15" x14ac:dyDescent="0.3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N128" s="78">
        <v>0</v>
      </c>
      <c r="O128" s="78">
        <v>0</v>
      </c>
    </row>
    <row r="129" spans="1:15" x14ac:dyDescent="0.3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O129" si="5">0.0000002*3</f>
        <v>5.9999999999999997E-7</v>
      </c>
      <c r="J129" s="83">
        <f t="shared" si="5"/>
        <v>5.9999999999999997E-7</v>
      </c>
      <c r="K129" s="83">
        <f>0.0000002 * 2 / 10</f>
        <v>4.0000000000000001E-8</v>
      </c>
      <c r="L129" s="83">
        <f>0.0000002 * 2 / 10</f>
        <v>4.0000000000000001E-8</v>
      </c>
      <c r="N129" s="83">
        <f t="shared" si="5"/>
        <v>5.9999999999999997E-7</v>
      </c>
      <c r="O129" s="83">
        <f t="shared" si="5"/>
        <v>5.9999999999999997E-7</v>
      </c>
    </row>
    <row r="130" spans="1:15" x14ac:dyDescent="0.3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O130" si="6">1000 * 0.000001 / 12</f>
        <v>8.3333333333333331E-5</v>
      </c>
      <c r="I130" s="83">
        <f t="shared" si="6"/>
        <v>8.3333333333333331E-5</v>
      </c>
      <c r="J130" s="83">
        <f t="shared" si="6"/>
        <v>8.3333333333333331E-5</v>
      </c>
      <c r="K130" s="83">
        <f t="shared" si="6"/>
        <v>8.3333333333333331E-5</v>
      </c>
      <c r="L130" s="83">
        <f t="shared" si="6"/>
        <v>8.3333333333333331E-5</v>
      </c>
      <c r="N130" s="83">
        <f t="shared" si="6"/>
        <v>8.3333333333333331E-5</v>
      </c>
      <c r="O130" s="83">
        <f t="shared" si="6"/>
        <v>8.3333333333333331E-5</v>
      </c>
    </row>
    <row r="131" spans="1:15" x14ac:dyDescent="0.3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N131" s="89" t="s">
        <v>533</v>
      </c>
      <c r="O131" s="89" t="s">
        <v>533</v>
      </c>
    </row>
    <row r="132" spans="1:15" x14ac:dyDescent="0.3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>
        <f>0.0005 * 1.2</f>
        <v>5.9999999999999995E-4</v>
      </c>
      <c r="N132" s="83">
        <v>5.0000000000000001E-4</v>
      </c>
      <c r="O132" s="83">
        <v>5.0000000000000001E-4</v>
      </c>
    </row>
    <row r="133" spans="1:15" x14ac:dyDescent="0.3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N133" s="83">
        <v>4.9999999999999999E-13</v>
      </c>
      <c r="O133" s="83">
        <v>4.9999999999999999E-13</v>
      </c>
    </row>
    <row r="134" spans="1:15" x14ac:dyDescent="0.3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N134" s="77">
        <v>10</v>
      </c>
      <c r="O134" s="77">
        <v>10</v>
      </c>
    </row>
    <row r="135" spans="1:15" x14ac:dyDescent="0.3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N135" s="77">
        <v>-0.04</v>
      </c>
      <c r="O135" s="77">
        <v>-0.04</v>
      </c>
    </row>
    <row r="136" spans="1:15" x14ac:dyDescent="0.3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N136" s="77">
        <v>2.9</v>
      </c>
      <c r="O136" s="77">
        <v>2.9</v>
      </c>
    </row>
    <row r="137" spans="1:15" x14ac:dyDescent="0.3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N137" s="77">
        <v>1</v>
      </c>
      <c r="O137" s="77">
        <v>1</v>
      </c>
    </row>
    <row r="138" spans="1:15" x14ac:dyDescent="0.3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f>0.0000002 * 2 / 10</f>
        <v>4.0000000000000001E-8</v>
      </c>
      <c r="N138" s="80">
        <v>1.9999999999999999E-7</v>
      </c>
      <c r="O138" s="80">
        <v>1.9999999999999999E-7</v>
      </c>
    </row>
    <row r="139" spans="1:15" x14ac:dyDescent="0.3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N139" s="77">
        <v>10</v>
      </c>
      <c r="O139" s="77">
        <v>10</v>
      </c>
    </row>
    <row r="140" spans="1:15" x14ac:dyDescent="0.3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N140" s="77">
        <v>-0.04</v>
      </c>
      <c r="O140" s="77">
        <v>-0.04</v>
      </c>
    </row>
    <row r="141" spans="1:15" x14ac:dyDescent="0.3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N141" s="77">
        <v>2.9</v>
      </c>
      <c r="O141" s="77">
        <v>2.9</v>
      </c>
    </row>
    <row r="142" spans="1:15" x14ac:dyDescent="0.3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N142" s="77">
        <v>1</v>
      </c>
      <c r="O142" s="77">
        <v>1</v>
      </c>
    </row>
    <row r="143" spans="1:15" x14ac:dyDescent="0.3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N143" s="77">
        <v>0</v>
      </c>
      <c r="O143" s="77">
        <v>0</v>
      </c>
    </row>
    <row r="144" spans="1:15" x14ac:dyDescent="0.3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N144" s="80">
        <v>5.0000000000000004E-6</v>
      </c>
      <c r="O144" s="80">
        <v>5.0000000000000004E-6</v>
      </c>
    </row>
    <row r="145" spans="1:15" x14ac:dyDescent="0.3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N145" s="77">
        <v>0</v>
      </c>
      <c r="O145" s="77">
        <v>0</v>
      </c>
    </row>
    <row r="146" spans="1:15" x14ac:dyDescent="0.3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N146" s="77">
        <v>2E-3</v>
      </c>
      <c r="O146" s="77">
        <v>2E-3</v>
      </c>
    </row>
    <row r="147" spans="1:15" x14ac:dyDescent="0.3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N147" s="80">
        <v>3.9999999999999998E-6</v>
      </c>
      <c r="O147" s="80">
        <v>3.9999999999999998E-6</v>
      </c>
    </row>
    <row r="148" spans="1:15" x14ac:dyDescent="0.3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N148" s="80">
        <v>3.7699999999999999E-10</v>
      </c>
      <c r="O148" s="80">
        <v>3.7699999999999999E-10</v>
      </c>
    </row>
    <row r="149" spans="1:15" x14ac:dyDescent="0.3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N149" s="77">
        <v>20</v>
      </c>
      <c r="O149" s="77">
        <v>20</v>
      </c>
    </row>
    <row r="150" spans="1:15" x14ac:dyDescent="0.3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N150" s="77">
        <v>-0.06</v>
      </c>
      <c r="O150" s="77">
        <v>-0.06</v>
      </c>
    </row>
    <row r="151" spans="1:15" x14ac:dyDescent="0.3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N151" s="77">
        <v>0.89100000000000001</v>
      </c>
      <c r="O151" s="77">
        <v>0.89100000000000001</v>
      </c>
    </row>
    <row r="152" spans="1:15" x14ac:dyDescent="0.3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N152" s="77">
        <v>1</v>
      </c>
      <c r="O152" s="77">
        <v>1</v>
      </c>
    </row>
    <row r="153" spans="1:15" x14ac:dyDescent="0.3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N153" s="80">
        <v>4.0000000000000003E-5</v>
      </c>
      <c r="O153" s="80">
        <v>4.0000000000000003E-5</v>
      </c>
    </row>
    <row r="154" spans="1:15" x14ac:dyDescent="0.3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N154" s="80">
        <v>5.8333333333333335E-9</v>
      </c>
      <c r="O154" s="80">
        <v>5.8333333333333335E-9</v>
      </c>
    </row>
    <row r="155" spans="1:15" x14ac:dyDescent="0.3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N155" s="77">
        <v>20</v>
      </c>
      <c r="O155" s="77">
        <v>20</v>
      </c>
    </row>
    <row r="156" spans="1:15" x14ac:dyDescent="0.3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N156" s="77">
        <v>-0.06</v>
      </c>
      <c r="O156" s="77">
        <v>-0.06</v>
      </c>
    </row>
    <row r="157" spans="1:15" x14ac:dyDescent="0.3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N157" s="77">
        <v>0.89100000000000001</v>
      </c>
      <c r="O157" s="77">
        <v>0.89100000000000001</v>
      </c>
    </row>
    <row r="158" spans="1:15" x14ac:dyDescent="0.3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N158" s="77">
        <v>1</v>
      </c>
      <c r="O158" s="77">
        <v>1</v>
      </c>
    </row>
    <row r="159" spans="1:15" x14ac:dyDescent="0.3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N159" s="80">
        <v>4.0000000000000003E-5</v>
      </c>
      <c r="O159" s="80">
        <v>4.0000000000000003E-5</v>
      </c>
    </row>
    <row r="160" spans="1:15" x14ac:dyDescent="0.3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N160" s="83">
        <v>4.0000000000000001E-8</v>
      </c>
      <c r="O160" s="83">
        <v>4.0000000000000001E-8</v>
      </c>
    </row>
    <row r="161" spans="1:15" x14ac:dyDescent="0.3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N161" s="77">
        <v>20</v>
      </c>
      <c r="O161" s="77">
        <v>20</v>
      </c>
    </row>
    <row r="162" spans="1:15" x14ac:dyDescent="0.3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N162" s="77">
        <v>-4.4200000000000003E-2</v>
      </c>
      <c r="O162" s="77">
        <v>-4.4200000000000003E-2</v>
      </c>
    </row>
    <row r="163" spans="1:15" x14ac:dyDescent="0.3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N163" s="77">
        <v>1.55</v>
      </c>
      <c r="O163" s="77">
        <v>1.55</v>
      </c>
    </row>
    <row r="164" spans="1:15" x14ac:dyDescent="0.3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N164" s="77">
        <v>1</v>
      </c>
      <c r="O164" s="77">
        <v>1</v>
      </c>
    </row>
    <row r="165" spans="1:15" x14ac:dyDescent="0.3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N165" s="77">
        <v>2.7799999999999998E-4</v>
      </c>
      <c r="O165" s="77">
        <v>2.7799999999999998E-4</v>
      </c>
    </row>
    <row r="166" spans="1:15" x14ac:dyDescent="0.3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N166" s="84">
        <v>2.4999999999999998E-12</v>
      </c>
      <c r="O166" s="84">
        <v>2.4999999999999998E-12</v>
      </c>
    </row>
    <row r="167" spans="1:15" x14ac:dyDescent="0.3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N167" s="77">
        <v>20</v>
      </c>
      <c r="O167" s="77">
        <v>20</v>
      </c>
    </row>
    <row r="168" spans="1:15" x14ac:dyDescent="0.3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N168" s="77">
        <v>0</v>
      </c>
      <c r="O168" s="77">
        <v>0</v>
      </c>
    </row>
    <row r="169" spans="1:15" x14ac:dyDescent="0.3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N169" s="77">
        <v>1</v>
      </c>
      <c r="O169" s="77">
        <v>1</v>
      </c>
    </row>
    <row r="170" spans="1:15" x14ac:dyDescent="0.3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N170" s="77">
        <v>0</v>
      </c>
      <c r="O170" s="77">
        <v>0</v>
      </c>
    </row>
    <row r="171" spans="1:15" x14ac:dyDescent="0.3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N171" s="77">
        <v>0.4</v>
      </c>
      <c r="O171" s="77">
        <v>0.4</v>
      </c>
    </row>
    <row r="172" spans="1:15" x14ac:dyDescent="0.3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N172" s="86">
        <v>2.0000000000000001E-9</v>
      </c>
      <c r="O172" s="86">
        <v>2.0000000000000001E-9</v>
      </c>
    </row>
    <row r="173" spans="1:15" x14ac:dyDescent="0.3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N173" s="77">
        <v>25</v>
      </c>
      <c r="O173" s="77">
        <v>25</v>
      </c>
    </row>
    <row r="174" spans="1:15" x14ac:dyDescent="0.3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N174" s="77">
        <v>0</v>
      </c>
      <c r="O174" s="77">
        <v>0</v>
      </c>
    </row>
    <row r="175" spans="1:15" x14ac:dyDescent="0.3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N175" s="77">
        <v>3.98</v>
      </c>
      <c r="O175" s="77">
        <v>3.98</v>
      </c>
    </row>
    <row r="176" spans="1:15" x14ac:dyDescent="0.3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N176" s="77">
        <v>1</v>
      </c>
      <c r="O176" s="77">
        <v>1</v>
      </c>
    </row>
    <row r="177" spans="1:15" x14ac:dyDescent="0.3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N177" s="78">
        <v>1.6666666666666666E-4</v>
      </c>
      <c r="O177" s="78">
        <v>1.6666666666666666E-4</v>
      </c>
    </row>
    <row r="178" spans="1:15" x14ac:dyDescent="0.3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N178" s="80">
        <v>1E-8</v>
      </c>
      <c r="O178" s="80">
        <v>1E-8</v>
      </c>
    </row>
    <row r="179" spans="1:15" x14ac:dyDescent="0.3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N179" s="77">
        <v>20</v>
      </c>
      <c r="O179" s="77">
        <v>20</v>
      </c>
    </row>
    <row r="180" spans="1:15" x14ac:dyDescent="0.3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N180" s="77">
        <v>0</v>
      </c>
      <c r="O180" s="77">
        <v>0</v>
      </c>
    </row>
    <row r="181" spans="1:15" x14ac:dyDescent="0.3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N181" s="77">
        <v>2</v>
      </c>
      <c r="O181" s="77">
        <v>2</v>
      </c>
    </row>
    <row r="182" spans="1:15" x14ac:dyDescent="0.3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N182" s="77">
        <v>1</v>
      </c>
      <c r="O182" s="77">
        <v>1</v>
      </c>
    </row>
    <row r="183" spans="1:15" x14ac:dyDescent="0.3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N183" s="78">
        <v>8.3333333333333331E-5</v>
      </c>
      <c r="O183" s="78">
        <v>8.3333333333333331E-5</v>
      </c>
    </row>
    <row r="184" spans="1:15" x14ac:dyDescent="0.3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N184" s="77">
        <v>1</v>
      </c>
      <c r="O184" s="77">
        <v>1</v>
      </c>
    </row>
    <row r="185" spans="1:15" x14ac:dyDescent="0.3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N185" s="77">
        <v>2.3533050791148899E-8</v>
      </c>
      <c r="O185" s="77">
        <v>2.3533050791148899E-8</v>
      </c>
    </row>
    <row r="186" spans="1:15" x14ac:dyDescent="0.3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N186" s="77">
        <v>20</v>
      </c>
      <c r="O186" s="77">
        <v>20</v>
      </c>
    </row>
    <row r="187" spans="1:15" x14ac:dyDescent="0.3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N187" s="77">
        <v>-0.187</v>
      </c>
      <c r="O187" s="77">
        <v>-0.187</v>
      </c>
    </row>
    <row r="188" spans="1:15" x14ac:dyDescent="0.3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N188" s="77">
        <v>2.48</v>
      </c>
      <c r="O188" s="77">
        <v>2.48</v>
      </c>
    </row>
    <row r="189" spans="1:15" x14ac:dyDescent="0.3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N189" s="77">
        <v>1</v>
      </c>
      <c r="O189" s="77">
        <v>1</v>
      </c>
    </row>
    <row r="190" spans="1:15" x14ac:dyDescent="0.3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N190" s="77">
        <v>6.1060227588121015E-4</v>
      </c>
      <c r="O190" s="77">
        <v>6.1060227588121015E-4</v>
      </c>
    </row>
    <row r="191" spans="1:15" x14ac:dyDescent="0.3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N191" s="85">
        <v>3.9999999999999998E-7</v>
      </c>
      <c r="O191" s="85">
        <v>3.9999999999999998E-7</v>
      </c>
    </row>
    <row r="192" spans="1:15" x14ac:dyDescent="0.3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N192" s="77">
        <v>25</v>
      </c>
      <c r="O192" s="77">
        <v>25</v>
      </c>
    </row>
    <row r="193" spans="1:15" x14ac:dyDescent="0.3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N193" s="77">
        <v>0</v>
      </c>
      <c r="O193" s="77">
        <v>0</v>
      </c>
    </row>
    <row r="194" spans="1:15" x14ac:dyDescent="0.3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N194" s="77">
        <v>3.98</v>
      </c>
      <c r="O194" s="77">
        <v>3.98</v>
      </c>
    </row>
    <row r="195" spans="1:15" x14ac:dyDescent="0.3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N195" s="77">
        <v>1</v>
      </c>
      <c r="O195" s="77">
        <v>1</v>
      </c>
    </row>
    <row r="196" spans="1:15" x14ac:dyDescent="0.3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N196" s="78">
        <v>8.3333333333333331E-5</v>
      </c>
      <c r="O196" s="78">
        <v>8.3333333333333331E-5</v>
      </c>
    </row>
    <row r="197" spans="1:15" x14ac:dyDescent="0.3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N197" s="85">
        <v>3.9999999999999998E-7</v>
      </c>
      <c r="O197" s="85">
        <v>3.9999999999999998E-7</v>
      </c>
    </row>
    <row r="198" spans="1:15" x14ac:dyDescent="0.3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N198" s="77">
        <v>25</v>
      </c>
      <c r="O198" s="77">
        <v>25</v>
      </c>
    </row>
    <row r="199" spans="1:15" x14ac:dyDescent="0.3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N199" s="77">
        <v>0</v>
      </c>
      <c r="O199" s="77">
        <v>0</v>
      </c>
    </row>
    <row r="200" spans="1:15" x14ac:dyDescent="0.3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N200" s="77">
        <v>3.98</v>
      </c>
      <c r="O200" s="77">
        <v>3.98</v>
      </c>
    </row>
    <row r="201" spans="1:15" x14ac:dyDescent="0.3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N201" s="77">
        <v>1</v>
      </c>
      <c r="O201" s="77">
        <v>1</v>
      </c>
    </row>
    <row r="202" spans="1:15" x14ac:dyDescent="0.3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N202" s="78">
        <v>8.3333333333333331E-5</v>
      </c>
      <c r="O202" s="78">
        <v>8.3333333333333331E-5</v>
      </c>
    </row>
    <row r="203" spans="1:15" x14ac:dyDescent="0.3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N203" s="85">
        <v>1.9999999999999999E-7</v>
      </c>
      <c r="O203" s="85">
        <v>1.9999999999999999E-7</v>
      </c>
    </row>
    <row r="204" spans="1:15" x14ac:dyDescent="0.3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N204" s="77">
        <v>25</v>
      </c>
      <c r="O204" s="77">
        <v>25</v>
      </c>
    </row>
    <row r="205" spans="1:15" x14ac:dyDescent="0.3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N205" s="77">
        <v>0</v>
      </c>
      <c r="O205" s="77">
        <v>0</v>
      </c>
    </row>
    <row r="206" spans="1:15" x14ac:dyDescent="0.3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N206" s="77">
        <v>3.98</v>
      </c>
      <c r="O206" s="77">
        <v>3.98</v>
      </c>
    </row>
    <row r="207" spans="1:15" x14ac:dyDescent="0.3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N207" s="77">
        <v>1</v>
      </c>
      <c r="O207" s="77">
        <v>1</v>
      </c>
    </row>
    <row r="208" spans="1:15" x14ac:dyDescent="0.3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N208" s="78">
        <v>8.3333333333333331E-5</v>
      </c>
      <c r="O208" s="78">
        <v>8.3333333333333331E-5</v>
      </c>
    </row>
    <row r="209" spans="1:15" x14ac:dyDescent="0.3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N209" s="95" t="s">
        <v>90</v>
      </c>
      <c r="O209" s="95" t="s">
        <v>90</v>
      </c>
    </row>
    <row r="210" spans="1:15" s="96" customFormat="1" x14ac:dyDescent="0.3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7">0.00002</f>
        <v>2.0000000000000002E-5</v>
      </c>
      <c r="I210" s="83">
        <f t="shared" si="7"/>
        <v>2.0000000000000002E-5</v>
      </c>
      <c r="J210" s="83">
        <f t="shared" si="7"/>
        <v>2.0000000000000002E-5</v>
      </c>
      <c r="K210" s="83">
        <f>0.00005 / 100</f>
        <v>4.9999999999999998E-7</v>
      </c>
      <c r="L210" s="83">
        <f>0.00005 / 100</f>
        <v>4.9999999999999998E-7</v>
      </c>
      <c r="M210" s="1"/>
      <c r="N210" s="2">
        <v>0.01</v>
      </c>
      <c r="O210" s="2">
        <v>0.01</v>
      </c>
    </row>
    <row r="211" spans="1:15" s="96" customFormat="1" x14ac:dyDescent="0.3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0.1</v>
      </c>
      <c r="M211" s="1"/>
      <c r="N211" s="99">
        <v>0</v>
      </c>
      <c r="O211" s="99">
        <v>0</v>
      </c>
    </row>
    <row r="212" spans="1:15" s="96" customFormat="1" x14ac:dyDescent="0.3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L212" si="8">0.00002 / 14</f>
        <v>1.4285714285714286E-6</v>
      </c>
      <c r="I212" s="83">
        <f t="shared" si="8"/>
        <v>1.4285714285714286E-6</v>
      </c>
      <c r="J212" s="83">
        <v>2E-3</v>
      </c>
      <c r="K212" s="83">
        <f t="shared" si="8"/>
        <v>1.4285714285714286E-6</v>
      </c>
      <c r="L212" s="83">
        <f t="shared" si="8"/>
        <v>1.4285714285714286E-6</v>
      </c>
      <c r="M212" s="1"/>
      <c r="N212" s="100">
        <v>1</v>
      </c>
      <c r="O212" s="100">
        <v>0.01</v>
      </c>
    </row>
    <row r="213" spans="1:15" s="96" customFormat="1" x14ac:dyDescent="0.3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1"/>
      <c r="N213" s="98">
        <v>0.1</v>
      </c>
      <c r="O213" s="98" t="s">
        <v>476</v>
      </c>
    </row>
    <row r="214" spans="1:15" s="96" customFormat="1" x14ac:dyDescent="0.3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1"/>
      <c r="N214" s="98">
        <v>0.04</v>
      </c>
      <c r="O214" s="98">
        <v>0.04</v>
      </c>
    </row>
    <row r="215" spans="1:15" s="96" customFormat="1" x14ac:dyDescent="0.3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1"/>
      <c r="N215" s="98">
        <v>1E-3</v>
      </c>
      <c r="O215" s="98">
        <v>1E-3</v>
      </c>
    </row>
    <row r="216" spans="1:15" x14ac:dyDescent="0.3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>1250*0.000001/5</f>
        <v>2.5000000000000001E-4</v>
      </c>
      <c r="I216" s="99">
        <f>1250*0.000001/5</f>
        <v>2.5000000000000001E-4</v>
      </c>
      <c r="J216" s="99">
        <f>1250*0.000001/5</f>
        <v>2.5000000000000001E-4</v>
      </c>
      <c r="K216" s="99">
        <f>1250*0.000001/5</f>
        <v>2.5000000000000001E-4</v>
      </c>
      <c r="L216" s="99">
        <f>1250*0.000001/5</f>
        <v>2.5000000000000001E-4</v>
      </c>
      <c r="N216" s="99">
        <v>2.5000000000000001E-4</v>
      </c>
      <c r="O216" s="99">
        <v>2.5000000000000001E-4</v>
      </c>
    </row>
    <row r="217" spans="1:15" x14ac:dyDescent="0.3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N217" s="99">
        <v>2.0000000000000001E-4</v>
      </c>
      <c r="O217" s="99">
        <v>2.0000000000000001E-4</v>
      </c>
    </row>
    <row r="218" spans="1:15" x14ac:dyDescent="0.3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</row>
    <row r="219" spans="1:15" x14ac:dyDescent="0.3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>
        <f>0.00000000005</f>
        <v>5.0000000000000002E-11</v>
      </c>
    </row>
    <row r="220" spans="1:15" x14ac:dyDescent="0.3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* 10 /2</f>
        <v>4.9999999999999998E-7</v>
      </c>
    </row>
    <row r="221" spans="1:15" x14ac:dyDescent="0.3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>
        <f>100</f>
        <v>100</v>
      </c>
    </row>
    <row r="222" spans="1:15" x14ac:dyDescent="0.3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>
        <f>0.000001 / 10000 / 4</f>
        <v>2.4999999999999998E-11</v>
      </c>
    </row>
    <row r="223" spans="1:15" x14ac:dyDescent="0.3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>
        <f>0.00001 * 10</f>
        <v>1E-4</v>
      </c>
      <c r="M223" s="83">
        <v>1.0000000000000001E-5</v>
      </c>
    </row>
    <row r="224" spans="1:15" x14ac:dyDescent="0.3">
      <c r="A224" s="2" t="s">
        <v>538</v>
      </c>
      <c r="B224" s="3" t="s">
        <v>471</v>
      </c>
      <c r="C224" s="2" t="s">
        <v>487</v>
      </c>
      <c r="D224" s="2" t="s">
        <v>532</v>
      </c>
      <c r="E224" s="96" t="s">
        <v>551</v>
      </c>
      <c r="F224" s="96" t="s">
        <v>506</v>
      </c>
      <c r="G224" s="99">
        <f>0.84*(0.36^2)</f>
        <v>0.10886399999999999</v>
      </c>
      <c r="H224" s="83">
        <f t="shared" ref="H224:L224" si="9">0.84*(0.36^2)</f>
        <v>0.10886399999999999</v>
      </c>
      <c r="I224" s="83">
        <f t="shared" si="9"/>
        <v>0.10886399999999999</v>
      </c>
      <c r="J224" s="83">
        <f t="shared" si="9"/>
        <v>0.10886399999999999</v>
      </c>
      <c r="K224" s="83">
        <f t="shared" si="9"/>
        <v>0.10886399999999999</v>
      </c>
      <c r="L224" s="83">
        <f t="shared" si="9"/>
        <v>0.10886399999999999</v>
      </c>
    </row>
    <row r="225" spans="1:12" x14ac:dyDescent="0.3">
      <c r="A225" s="2" t="s">
        <v>539</v>
      </c>
      <c r="B225" s="3" t="s">
        <v>471</v>
      </c>
      <c r="C225" s="2" t="s">
        <v>487</v>
      </c>
      <c r="D225" s="2" t="s">
        <v>532</v>
      </c>
      <c r="E225" s="96" t="s">
        <v>552</v>
      </c>
      <c r="F225" s="96" t="s">
        <v>495</v>
      </c>
      <c r="G225" s="100">
        <v>0.2</v>
      </c>
      <c r="H225" s="83">
        <v>0.2</v>
      </c>
      <c r="I225" s="83">
        <v>0.2</v>
      </c>
      <c r="J225" s="83">
        <v>0.2</v>
      </c>
      <c r="K225" s="83">
        <v>0.2</v>
      </c>
      <c r="L225" s="83">
        <v>0.2</v>
      </c>
    </row>
    <row r="226" spans="1:12" x14ac:dyDescent="0.3">
      <c r="A226" s="2" t="s">
        <v>540</v>
      </c>
      <c r="B226" s="3" t="s">
        <v>471</v>
      </c>
      <c r="C226" s="2" t="s">
        <v>487</v>
      </c>
      <c r="D226" s="2" t="s">
        <v>532</v>
      </c>
      <c r="E226" s="96" t="s">
        <v>553</v>
      </c>
      <c r="F226" s="96" t="s">
        <v>510</v>
      </c>
      <c r="G226" s="100" t="s">
        <v>476</v>
      </c>
      <c r="H226" s="83" t="s">
        <v>476</v>
      </c>
      <c r="I226" s="83" t="s">
        <v>476</v>
      </c>
      <c r="J226" s="83" t="s">
        <v>476</v>
      </c>
      <c r="K226" s="83" t="s">
        <v>476</v>
      </c>
      <c r="L226" s="83" t="s">
        <v>476</v>
      </c>
    </row>
    <row r="227" spans="1:12" x14ac:dyDescent="0.3">
      <c r="A227" s="2" t="s">
        <v>541</v>
      </c>
      <c r="B227" s="3" t="s">
        <v>471</v>
      </c>
      <c r="C227" s="2" t="s">
        <v>487</v>
      </c>
      <c r="D227" s="2" t="s">
        <v>532</v>
      </c>
      <c r="E227" s="96" t="s">
        <v>554</v>
      </c>
      <c r="F227" s="96" t="s">
        <v>510</v>
      </c>
      <c r="G227" s="100">
        <f>2*0.1</f>
        <v>0.2</v>
      </c>
      <c r="H227" s="83">
        <f t="shared" ref="H227:L227" si="10">2*0.1</f>
        <v>0.2</v>
      </c>
      <c r="I227" s="83">
        <f t="shared" si="10"/>
        <v>0.2</v>
      </c>
      <c r="J227" s="83">
        <f t="shared" si="10"/>
        <v>0.2</v>
      </c>
      <c r="K227" s="83">
        <f t="shared" si="10"/>
        <v>0.2</v>
      </c>
      <c r="L227" s="83">
        <f t="shared" si="10"/>
        <v>0.2</v>
      </c>
    </row>
    <row r="228" spans="1:12" x14ac:dyDescent="0.3">
      <c r="A228" s="2" t="s">
        <v>542</v>
      </c>
      <c r="B228" s="3" t="s">
        <v>471</v>
      </c>
      <c r="C228" s="2" t="s">
        <v>487</v>
      </c>
      <c r="D228" s="2" t="s">
        <v>532</v>
      </c>
      <c r="E228" s="96" t="s">
        <v>555</v>
      </c>
      <c r="F228" s="96" t="s">
        <v>510</v>
      </c>
      <c r="G228" s="100">
        <v>1E-3</v>
      </c>
      <c r="H228" s="83">
        <v>1E-3</v>
      </c>
      <c r="I228" s="83">
        <v>1E-3</v>
      </c>
      <c r="J228" s="83">
        <v>1E-3</v>
      </c>
      <c r="K228" s="83">
        <v>1E-3</v>
      </c>
      <c r="L228" s="83">
        <v>1E-3</v>
      </c>
    </row>
    <row r="229" spans="1:12" x14ac:dyDescent="0.3">
      <c r="A229" s="2" t="s">
        <v>543</v>
      </c>
      <c r="B229" s="3" t="s">
        <v>471</v>
      </c>
      <c r="C229" s="2" t="s">
        <v>487</v>
      </c>
      <c r="D229" s="2" t="s">
        <v>532</v>
      </c>
      <c r="E229" s="96" t="s">
        <v>556</v>
      </c>
      <c r="F229" s="96" t="s">
        <v>510</v>
      </c>
      <c r="G229" s="98">
        <v>1.0000000000000001E-5</v>
      </c>
      <c r="H229" s="83">
        <v>1.0000000000000001E-5</v>
      </c>
      <c r="I229" s="83">
        <v>1.0000000000000001E-5</v>
      </c>
      <c r="J229" s="83">
        <v>1.0000000000000001E-5</v>
      </c>
      <c r="K229" s="83">
        <f>0.00001 / 2</f>
        <v>5.0000000000000004E-6</v>
      </c>
      <c r="L229" s="83">
        <f>0.00001 / 2</f>
        <v>5.0000000000000004E-6</v>
      </c>
    </row>
    <row r="230" spans="1:12" x14ac:dyDescent="0.3">
      <c r="A230" s="2" t="s">
        <v>566</v>
      </c>
      <c r="B230" s="3" t="s">
        <v>471</v>
      </c>
      <c r="C230" s="3" t="s">
        <v>487</v>
      </c>
      <c r="D230" s="3" t="s">
        <v>532</v>
      </c>
      <c r="E230" s="30" t="s">
        <v>558</v>
      </c>
      <c r="F230" s="30" t="s">
        <v>559</v>
      </c>
      <c r="G230" s="83">
        <f t="shared" ref="G230:J230" si="11">0.00002 / 14 / 5</f>
        <v>2.8571428571428575E-7</v>
      </c>
      <c r="H230" s="83">
        <f t="shared" si="11"/>
        <v>2.8571428571428575E-7</v>
      </c>
      <c r="I230" s="83">
        <v>0</v>
      </c>
      <c r="J230" s="83">
        <f t="shared" si="11"/>
        <v>2.8571428571428575E-7</v>
      </c>
      <c r="K230" s="83">
        <v>0</v>
      </c>
      <c r="L230" s="83">
        <v>0</v>
      </c>
    </row>
    <row r="231" spans="1:12" x14ac:dyDescent="0.3">
      <c r="A231" s="2" t="s">
        <v>567</v>
      </c>
      <c r="B231" s="3" t="s">
        <v>471</v>
      </c>
      <c r="C231" s="3" t="s">
        <v>487</v>
      </c>
      <c r="D231" s="3" t="s">
        <v>532</v>
      </c>
      <c r="E231" s="30" t="s">
        <v>558</v>
      </c>
      <c r="F231" s="30" t="s">
        <v>559</v>
      </c>
      <c r="G231" s="83">
        <f t="shared" ref="G231:L231" si="12">0.00002 / 14 / 5 /10</f>
        <v>2.8571428571428575E-8</v>
      </c>
      <c r="H231" s="83">
        <f t="shared" si="12"/>
        <v>2.8571428571428575E-8</v>
      </c>
      <c r="I231" s="83">
        <f t="shared" si="12"/>
        <v>2.8571428571428575E-8</v>
      </c>
      <c r="J231" s="83">
        <f t="shared" si="12"/>
        <v>2.8571428571428575E-8</v>
      </c>
      <c r="K231" s="83">
        <f t="shared" si="12"/>
        <v>2.8571428571428575E-8</v>
      </c>
      <c r="L231" s="83">
        <f t="shared" si="12"/>
        <v>2.8571428571428575E-8</v>
      </c>
    </row>
  </sheetData>
  <conditionalFormatting sqref="G230:I23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1:L231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L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L210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L211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L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L21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L214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L215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L218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L221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L222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M223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L224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L229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0:K23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0:L23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9:O129 H129:L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0:O130 H130:L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2:O132 H132:L132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3:O133 H133:L133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8:O138 H138:L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4:O144 H144:L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0:O160 H160:L160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6:O166 H166:L166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6640625" customWidth="1"/>
    <col min="3" max="3" width="49.5546875" customWidth="1"/>
  </cols>
  <sheetData>
    <row r="1" spans="1:3" s="1" customFormat="1" x14ac:dyDescent="0.3">
      <c r="A1" s="1" t="s">
        <v>286</v>
      </c>
      <c r="B1" s="1" t="s">
        <v>287</v>
      </c>
      <c r="C1" s="1" t="s">
        <v>288</v>
      </c>
    </row>
    <row r="2" spans="1:3" x14ac:dyDescent="0.3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207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91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208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205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209</v>
      </c>
      <c r="B26" t="s">
        <v>24</v>
      </c>
      <c r="C26" t="str">
        <f t="shared" si="0"/>
        <v/>
      </c>
    </row>
    <row r="27" spans="1:3" x14ac:dyDescent="0.3">
      <c r="A27" t="s">
        <v>210</v>
      </c>
      <c r="B27" t="s">
        <v>25</v>
      </c>
      <c r="C27" t="str">
        <f t="shared" si="0"/>
        <v>root_growth_T_ref</v>
      </c>
    </row>
    <row r="28" spans="1:3" x14ac:dyDescent="0.3">
      <c r="A28" t="s">
        <v>211</v>
      </c>
      <c r="B28" t="s">
        <v>26</v>
      </c>
      <c r="C28" t="str">
        <f t="shared" si="0"/>
        <v>root_growth_A</v>
      </c>
    </row>
    <row r="29" spans="1:3" x14ac:dyDescent="0.3">
      <c r="A29" t="s">
        <v>212</v>
      </c>
      <c r="B29" t="s">
        <v>27</v>
      </c>
      <c r="C29" t="str">
        <f t="shared" si="0"/>
        <v>root_growth_B</v>
      </c>
    </row>
    <row r="30" spans="1:3" x14ac:dyDescent="0.3">
      <c r="A30" t="s">
        <v>213</v>
      </c>
      <c r="B30" t="s">
        <v>28</v>
      </c>
      <c r="C30" t="str">
        <f t="shared" si="0"/>
        <v>root_growth_C</v>
      </c>
    </row>
    <row r="31" spans="1:3" x14ac:dyDescent="0.3">
      <c r="A31" t="s">
        <v>214</v>
      </c>
      <c r="B31" t="s">
        <v>29</v>
      </c>
      <c r="C31" t="str">
        <f t="shared" si="0"/>
        <v/>
      </c>
    </row>
    <row r="32" spans="1:3" x14ac:dyDescent="0.3">
      <c r="A32" t="s">
        <v>215</v>
      </c>
      <c r="B32" t="s">
        <v>30</v>
      </c>
      <c r="C32" t="str">
        <f t="shared" si="0"/>
        <v/>
      </c>
    </row>
    <row r="33" spans="1:3" x14ac:dyDescent="0.3">
      <c r="A33" t="s">
        <v>216</v>
      </c>
      <c r="B33" t="s">
        <v>31</v>
      </c>
      <c r="C33" t="str">
        <f t="shared" si="0"/>
        <v/>
      </c>
    </row>
    <row r="34" spans="1:3" x14ac:dyDescent="0.3">
      <c r="A34" t="s">
        <v>217</v>
      </c>
      <c r="B34" t="s">
        <v>32</v>
      </c>
      <c r="C34" t="str">
        <f t="shared" si="0"/>
        <v/>
      </c>
    </row>
    <row r="35" spans="1:3" x14ac:dyDescent="0.3">
      <c r="A35" t="s">
        <v>218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219</v>
      </c>
      <c r="B38" t="s">
        <v>36</v>
      </c>
      <c r="C38" t="str">
        <f t="shared" si="0"/>
        <v/>
      </c>
    </row>
    <row r="39" spans="1:3" x14ac:dyDescent="0.3">
      <c r="A39" t="s">
        <v>220</v>
      </c>
      <c r="B39" t="s">
        <v>37</v>
      </c>
      <c r="C39" t="str">
        <f t="shared" si="0"/>
        <v/>
      </c>
    </row>
    <row r="40" spans="1:3" x14ac:dyDescent="0.3">
      <c r="A40" t="s">
        <v>221</v>
      </c>
      <c r="B40" t="s">
        <v>38</v>
      </c>
      <c r="C40" t="str">
        <f t="shared" si="0"/>
        <v/>
      </c>
    </row>
    <row r="41" spans="1:3" x14ac:dyDescent="0.3">
      <c r="A41" t="s">
        <v>222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223</v>
      </c>
      <c r="B43" t="s">
        <v>207</v>
      </c>
      <c r="C43" t="str">
        <f t="shared" si="0"/>
        <v>expected_C_sucrose_root</v>
      </c>
    </row>
    <row r="44" spans="1:3" x14ac:dyDescent="0.3">
      <c r="A44" t="s">
        <v>224</v>
      </c>
      <c r="B44" t="s">
        <v>41</v>
      </c>
      <c r="C44" t="str">
        <f t="shared" si="0"/>
        <v>expected_C_hexose_root</v>
      </c>
    </row>
    <row r="45" spans="1:3" x14ac:dyDescent="0.3">
      <c r="A45" t="s">
        <v>225</v>
      </c>
      <c r="B45" t="s">
        <v>91</v>
      </c>
      <c r="C45" t="str">
        <f t="shared" si="0"/>
        <v>expected_C_hexose_soil</v>
      </c>
    </row>
    <row r="46" spans="1:3" x14ac:dyDescent="0.3">
      <c r="A46" t="s">
        <v>226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229</v>
      </c>
      <c r="B52" t="s">
        <v>47</v>
      </c>
      <c r="C52" t="str">
        <f t="shared" si="0"/>
        <v/>
      </c>
    </row>
    <row r="53" spans="1:3" x14ac:dyDescent="0.3">
      <c r="A53" t="s">
        <v>230</v>
      </c>
      <c r="B53" t="s">
        <v>48</v>
      </c>
      <c r="C53" t="str">
        <f t="shared" si="0"/>
        <v/>
      </c>
    </row>
    <row r="54" spans="1:3" x14ac:dyDescent="0.3">
      <c r="A54" t="s">
        <v>231</v>
      </c>
      <c r="B54" t="s">
        <v>49</v>
      </c>
      <c r="C54" t="str">
        <f t="shared" si="0"/>
        <v/>
      </c>
    </row>
    <row r="55" spans="1:3" x14ac:dyDescent="0.3">
      <c r="A55" t="s">
        <v>232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205</v>
      </c>
      <c r="C56" t="str">
        <f t="shared" si="0"/>
        <v/>
      </c>
    </row>
    <row r="57" spans="1:3" x14ac:dyDescent="0.3">
      <c r="A57" t="s">
        <v>233</v>
      </c>
      <c r="B57" t="s">
        <v>51</v>
      </c>
      <c r="C57" t="str">
        <f t="shared" si="0"/>
        <v/>
      </c>
    </row>
    <row r="58" spans="1:3" x14ac:dyDescent="0.3">
      <c r="A58" t="s">
        <v>234</v>
      </c>
      <c r="B58" t="s">
        <v>52</v>
      </c>
      <c r="C58" t="str">
        <f t="shared" si="0"/>
        <v/>
      </c>
    </row>
    <row r="59" spans="1:3" x14ac:dyDescent="0.3">
      <c r="A59" t="s">
        <v>235</v>
      </c>
      <c r="B59" t="s">
        <v>53</v>
      </c>
      <c r="C59" t="str">
        <f t="shared" si="0"/>
        <v/>
      </c>
    </row>
    <row r="60" spans="1:3" x14ac:dyDescent="0.3">
      <c r="A60" t="s">
        <v>236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214</v>
      </c>
      <c r="C62" t="str">
        <f t="shared" si="0"/>
        <v/>
      </c>
    </row>
    <row r="63" spans="1:3" x14ac:dyDescent="0.3">
      <c r="A63" t="s">
        <v>69</v>
      </c>
      <c r="B63" t="s">
        <v>215</v>
      </c>
      <c r="C63" t="str">
        <f t="shared" si="0"/>
        <v/>
      </c>
    </row>
    <row r="64" spans="1:3" x14ac:dyDescent="0.3">
      <c r="A64" t="s">
        <v>57</v>
      </c>
      <c r="B64" t="s">
        <v>216</v>
      </c>
      <c r="C64" t="str">
        <f t="shared" si="0"/>
        <v/>
      </c>
    </row>
    <row r="65" spans="1:3" x14ac:dyDescent="0.3">
      <c r="A65" t="s">
        <v>56</v>
      </c>
      <c r="B65" t="s">
        <v>217</v>
      </c>
      <c r="C65" t="str">
        <f t="shared" si="0"/>
        <v/>
      </c>
    </row>
    <row r="66" spans="1:3" x14ac:dyDescent="0.3">
      <c r="A66" t="s">
        <v>58</v>
      </c>
      <c r="B66" t="s">
        <v>218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237</v>
      </c>
      <c r="B68" t="s">
        <v>83</v>
      </c>
      <c r="C68" t="str">
        <f t="shared" si="1"/>
        <v/>
      </c>
    </row>
    <row r="69" spans="1:3" x14ac:dyDescent="0.3">
      <c r="A69" t="s">
        <v>238</v>
      </c>
      <c r="B69" t="s">
        <v>84</v>
      </c>
      <c r="C69" t="str">
        <f t="shared" si="1"/>
        <v/>
      </c>
    </row>
    <row r="70" spans="1:3" x14ac:dyDescent="0.3">
      <c r="A70" t="s">
        <v>239</v>
      </c>
      <c r="B70" t="s">
        <v>85</v>
      </c>
      <c r="C70" t="str">
        <f t="shared" si="1"/>
        <v/>
      </c>
    </row>
    <row r="71" spans="1:3" x14ac:dyDescent="0.3">
      <c r="A71" t="s">
        <v>240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209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241</v>
      </c>
      <c r="B74" t="s">
        <v>61</v>
      </c>
      <c r="C74" t="str">
        <f t="shared" si="1"/>
        <v/>
      </c>
    </row>
    <row r="75" spans="1:3" x14ac:dyDescent="0.3">
      <c r="A75" t="s">
        <v>242</v>
      </c>
      <c r="B75" t="s">
        <v>62</v>
      </c>
      <c r="C75" t="str">
        <f t="shared" si="1"/>
        <v/>
      </c>
    </row>
    <row r="76" spans="1:3" x14ac:dyDescent="0.3">
      <c r="A76" t="s">
        <v>243</v>
      </c>
      <c r="B76" t="s">
        <v>63</v>
      </c>
      <c r="C76" t="str">
        <f t="shared" si="1"/>
        <v/>
      </c>
    </row>
    <row r="77" spans="1:3" x14ac:dyDescent="0.3">
      <c r="A77" t="s">
        <v>244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245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229</v>
      </c>
      <c r="C80" t="str">
        <f t="shared" si="1"/>
        <v/>
      </c>
    </row>
    <row r="81" spans="1:3" x14ac:dyDescent="0.3">
      <c r="A81" t="s">
        <v>246</v>
      </c>
      <c r="B81" t="s">
        <v>230</v>
      </c>
      <c r="C81" t="str">
        <f t="shared" si="1"/>
        <v/>
      </c>
    </row>
    <row r="82" spans="1:3" x14ac:dyDescent="0.3">
      <c r="A82" t="s">
        <v>247</v>
      </c>
      <c r="B82" t="s">
        <v>231</v>
      </c>
      <c r="C82" t="str">
        <f t="shared" si="1"/>
        <v/>
      </c>
    </row>
    <row r="83" spans="1:3" x14ac:dyDescent="0.3">
      <c r="A83" t="s">
        <v>248</v>
      </c>
      <c r="B83" t="s">
        <v>232</v>
      </c>
      <c r="C83" t="str">
        <f t="shared" si="1"/>
        <v/>
      </c>
    </row>
    <row r="84" spans="1:3" x14ac:dyDescent="0.3">
      <c r="A84" t="s">
        <v>249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233</v>
      </c>
      <c r="C86" t="str">
        <f t="shared" si="1"/>
        <v/>
      </c>
    </row>
    <row r="87" spans="1:3" x14ac:dyDescent="0.3">
      <c r="A87" t="s">
        <v>250</v>
      </c>
      <c r="B87" t="s">
        <v>234</v>
      </c>
      <c r="C87" t="str">
        <f t="shared" si="1"/>
        <v/>
      </c>
    </row>
    <row r="88" spans="1:3" x14ac:dyDescent="0.3">
      <c r="A88" t="s">
        <v>251</v>
      </c>
      <c r="B88" t="s">
        <v>235</v>
      </c>
      <c r="C88" t="str">
        <f t="shared" si="1"/>
        <v/>
      </c>
    </row>
    <row r="89" spans="1:3" x14ac:dyDescent="0.3">
      <c r="A89" t="s">
        <v>252</v>
      </c>
      <c r="B89" t="s">
        <v>236</v>
      </c>
      <c r="C89" t="str">
        <f t="shared" si="1"/>
        <v/>
      </c>
    </row>
    <row r="90" spans="1:3" x14ac:dyDescent="0.3">
      <c r="A90" t="s">
        <v>253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254</v>
      </c>
      <c r="B92" t="s">
        <v>56</v>
      </c>
      <c r="C92" t="str">
        <f t="shared" si="1"/>
        <v/>
      </c>
    </row>
    <row r="93" spans="1:3" x14ac:dyDescent="0.3">
      <c r="A93" t="s">
        <v>255</v>
      </c>
      <c r="B93" t="s">
        <v>57</v>
      </c>
      <c r="C93" t="str">
        <f t="shared" si="1"/>
        <v/>
      </c>
    </row>
    <row r="94" spans="1:3" x14ac:dyDescent="0.3">
      <c r="A94" t="s">
        <v>256</v>
      </c>
      <c r="B94" t="s">
        <v>58</v>
      </c>
      <c r="C94" t="str">
        <f t="shared" si="1"/>
        <v/>
      </c>
    </row>
    <row r="95" spans="1:3" x14ac:dyDescent="0.3">
      <c r="A95" t="s">
        <v>257</v>
      </c>
      <c r="B95" t="s">
        <v>71</v>
      </c>
      <c r="C95" t="str">
        <f t="shared" si="1"/>
        <v/>
      </c>
    </row>
    <row r="96" spans="1:3" x14ac:dyDescent="0.3">
      <c r="A96" t="s">
        <v>258</v>
      </c>
      <c r="B96" t="s">
        <v>237</v>
      </c>
      <c r="C96" t="str">
        <f t="shared" si="1"/>
        <v/>
      </c>
    </row>
    <row r="97" spans="1:3" x14ac:dyDescent="0.3">
      <c r="A97" t="s">
        <v>259</v>
      </c>
      <c r="B97" t="s">
        <v>238</v>
      </c>
      <c r="C97" t="str">
        <f t="shared" si="1"/>
        <v/>
      </c>
    </row>
    <row r="98" spans="1:3" x14ac:dyDescent="0.3">
      <c r="A98" t="s">
        <v>260</v>
      </c>
      <c r="B98" t="s">
        <v>239</v>
      </c>
      <c r="C98" t="str">
        <f t="shared" si="1"/>
        <v/>
      </c>
    </row>
    <row r="99" spans="1:3" x14ac:dyDescent="0.3">
      <c r="A99" t="s">
        <v>261</v>
      </c>
      <c r="B99" t="s">
        <v>240</v>
      </c>
      <c r="C99" t="str">
        <f t="shared" si="1"/>
        <v/>
      </c>
    </row>
    <row r="100" spans="1:3" x14ac:dyDescent="0.3">
      <c r="A100" t="s">
        <v>262</v>
      </c>
      <c r="B100" t="s">
        <v>72</v>
      </c>
      <c r="C100" t="str">
        <f t="shared" si="1"/>
        <v/>
      </c>
    </row>
    <row r="101" spans="1:3" x14ac:dyDescent="0.3">
      <c r="A101" t="s">
        <v>263</v>
      </c>
      <c r="B101" t="s">
        <v>73</v>
      </c>
      <c r="C101" t="str">
        <f t="shared" si="1"/>
        <v/>
      </c>
    </row>
    <row r="102" spans="1:3" x14ac:dyDescent="0.3">
      <c r="A102" t="s">
        <v>264</v>
      </c>
      <c r="B102" t="s">
        <v>241</v>
      </c>
      <c r="C102" t="str">
        <f t="shared" si="1"/>
        <v/>
      </c>
    </row>
    <row r="103" spans="1:3" x14ac:dyDescent="0.3">
      <c r="A103" t="s">
        <v>265</v>
      </c>
      <c r="B103" t="s">
        <v>242</v>
      </c>
      <c r="C103" t="str">
        <f t="shared" si="1"/>
        <v/>
      </c>
    </row>
    <row r="104" spans="1:3" x14ac:dyDescent="0.3">
      <c r="A104" t="s">
        <v>266</v>
      </c>
      <c r="B104" t="s">
        <v>243</v>
      </c>
      <c r="C104" t="str">
        <f t="shared" si="1"/>
        <v/>
      </c>
    </row>
    <row r="105" spans="1:3" x14ac:dyDescent="0.3">
      <c r="A105" t="s">
        <v>267</v>
      </c>
      <c r="B105" t="s">
        <v>244</v>
      </c>
      <c r="C105" t="str">
        <f t="shared" si="1"/>
        <v/>
      </c>
    </row>
    <row r="106" spans="1:3" x14ac:dyDescent="0.3">
      <c r="A106" t="s">
        <v>268</v>
      </c>
      <c r="B106" t="s">
        <v>74</v>
      </c>
      <c r="C106" t="str">
        <f t="shared" si="1"/>
        <v/>
      </c>
    </row>
    <row r="107" spans="1:3" x14ac:dyDescent="0.3">
      <c r="A107" t="s">
        <v>269</v>
      </c>
      <c r="B107" t="s">
        <v>75</v>
      </c>
      <c r="C107" t="str">
        <f t="shared" si="1"/>
        <v/>
      </c>
    </row>
    <row r="108" spans="1:3" x14ac:dyDescent="0.3">
      <c r="A108" t="s">
        <v>270</v>
      </c>
      <c r="B108" t="s">
        <v>219</v>
      </c>
      <c r="C108" t="str">
        <f t="shared" si="1"/>
        <v/>
      </c>
    </row>
    <row r="109" spans="1:3" x14ac:dyDescent="0.3">
      <c r="A109" t="s">
        <v>271</v>
      </c>
      <c r="B109" t="s">
        <v>220</v>
      </c>
      <c r="C109" t="str">
        <f t="shared" si="1"/>
        <v/>
      </c>
    </row>
    <row r="110" spans="1:3" x14ac:dyDescent="0.3">
      <c r="A110" t="s">
        <v>272</v>
      </c>
      <c r="B110" t="s">
        <v>221</v>
      </c>
      <c r="C110" t="str">
        <f t="shared" si="1"/>
        <v/>
      </c>
    </row>
    <row r="111" spans="1:3" x14ac:dyDescent="0.3">
      <c r="A111" t="s">
        <v>273</v>
      </c>
      <c r="B111" t="s">
        <v>222</v>
      </c>
      <c r="C111" t="str">
        <f t="shared" si="1"/>
        <v/>
      </c>
    </row>
    <row r="112" spans="1:3" x14ac:dyDescent="0.3">
      <c r="A112" t="s">
        <v>274</v>
      </c>
      <c r="B112" t="s">
        <v>76</v>
      </c>
      <c r="C112" t="str">
        <f t="shared" si="1"/>
        <v/>
      </c>
    </row>
    <row r="113" spans="1:3" x14ac:dyDescent="0.3">
      <c r="A113" t="s">
        <v>275</v>
      </c>
      <c r="B113" t="s">
        <v>77</v>
      </c>
      <c r="C113" t="str">
        <f t="shared" si="1"/>
        <v/>
      </c>
    </row>
    <row r="114" spans="1:3" x14ac:dyDescent="0.3">
      <c r="A114" t="s">
        <v>276</v>
      </c>
      <c r="B114" t="s">
        <v>78</v>
      </c>
      <c r="C114" t="str">
        <f t="shared" si="1"/>
        <v/>
      </c>
    </row>
    <row r="115" spans="1:3" x14ac:dyDescent="0.3">
      <c r="A115" t="s">
        <v>277</v>
      </c>
      <c r="B115" t="s">
        <v>246</v>
      </c>
      <c r="C115" t="str">
        <f t="shared" si="1"/>
        <v/>
      </c>
    </row>
    <row r="116" spans="1:3" x14ac:dyDescent="0.3">
      <c r="A116" t="s">
        <v>278</v>
      </c>
      <c r="B116" t="s">
        <v>247</v>
      </c>
      <c r="C116" t="str">
        <f t="shared" si="1"/>
        <v/>
      </c>
    </row>
    <row r="117" spans="1:3" x14ac:dyDescent="0.3">
      <c r="A117" t="s">
        <v>279</v>
      </c>
      <c r="B117" t="s">
        <v>248</v>
      </c>
      <c r="C117" t="str">
        <f t="shared" si="1"/>
        <v/>
      </c>
    </row>
    <row r="118" spans="1:3" x14ac:dyDescent="0.3">
      <c r="A118" t="s">
        <v>280</v>
      </c>
      <c r="B118" t="s">
        <v>249</v>
      </c>
      <c r="C118" t="str">
        <f t="shared" si="1"/>
        <v/>
      </c>
    </row>
    <row r="119" spans="1:3" x14ac:dyDescent="0.3">
      <c r="A119" t="s">
        <v>281</v>
      </c>
      <c r="B119" t="s">
        <v>79</v>
      </c>
      <c r="C119" t="str">
        <f t="shared" si="1"/>
        <v/>
      </c>
    </row>
    <row r="120" spans="1:3" x14ac:dyDescent="0.3">
      <c r="A120" t="s">
        <v>282</v>
      </c>
      <c r="B120" t="s">
        <v>80</v>
      </c>
      <c r="C120" t="str">
        <f t="shared" si="1"/>
        <v/>
      </c>
    </row>
    <row r="121" spans="1:3" x14ac:dyDescent="0.3">
      <c r="A121" t="s">
        <v>283</v>
      </c>
      <c r="B121" t="s">
        <v>250</v>
      </c>
      <c r="C121" t="str">
        <f t="shared" si="1"/>
        <v/>
      </c>
    </row>
    <row r="122" spans="1:3" x14ac:dyDescent="0.3">
      <c r="A122" t="s">
        <v>284</v>
      </c>
      <c r="B122" t="s">
        <v>251</v>
      </c>
      <c r="C122" t="str">
        <f t="shared" si="1"/>
        <v/>
      </c>
    </row>
    <row r="123" spans="1:3" x14ac:dyDescent="0.3">
      <c r="A123" t="s">
        <v>59</v>
      </c>
      <c r="B123" t="s">
        <v>252</v>
      </c>
      <c r="C123" t="str">
        <f t="shared" si="1"/>
        <v/>
      </c>
    </row>
    <row r="124" spans="1:3" x14ac:dyDescent="0.3">
      <c r="A124" t="s">
        <v>62</v>
      </c>
      <c r="B124" t="s">
        <v>253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254</v>
      </c>
      <c r="C126" t="str">
        <f t="shared" si="1"/>
        <v/>
      </c>
    </row>
    <row r="127" spans="1:3" x14ac:dyDescent="0.3">
      <c r="A127" t="s">
        <v>82</v>
      </c>
      <c r="B127" t="s">
        <v>255</v>
      </c>
      <c r="C127" t="str">
        <f t="shared" si="1"/>
        <v/>
      </c>
    </row>
    <row r="128" spans="1:3" x14ac:dyDescent="0.3">
      <c r="A128" t="s">
        <v>83</v>
      </c>
      <c r="B128" t="s">
        <v>256</v>
      </c>
      <c r="C128" t="str">
        <f t="shared" si="1"/>
        <v/>
      </c>
    </row>
    <row r="129" spans="1:3" x14ac:dyDescent="0.3">
      <c r="A129" t="s">
        <v>85</v>
      </c>
      <c r="B129" t="s">
        <v>257</v>
      </c>
      <c r="C129" t="str">
        <f t="shared" si="1"/>
        <v/>
      </c>
    </row>
    <row r="130" spans="1:3" x14ac:dyDescent="0.3">
      <c r="A130" t="s">
        <v>84</v>
      </c>
      <c r="B130" t="s">
        <v>258</v>
      </c>
      <c r="C130" t="str">
        <f t="shared" si="1"/>
        <v/>
      </c>
    </row>
    <row r="131" spans="1:3" x14ac:dyDescent="0.3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260</v>
      </c>
      <c r="C132" t="str">
        <f t="shared" si="2"/>
        <v/>
      </c>
    </row>
    <row r="133" spans="1:3" x14ac:dyDescent="0.3">
      <c r="A133" t="s">
        <v>5</v>
      </c>
      <c r="B133" t="s">
        <v>261</v>
      </c>
      <c r="C133" t="str">
        <f t="shared" si="2"/>
        <v/>
      </c>
    </row>
    <row r="134" spans="1:3" x14ac:dyDescent="0.3">
      <c r="A134" t="s">
        <v>20</v>
      </c>
      <c r="B134" t="s">
        <v>262</v>
      </c>
      <c r="C134" t="str">
        <f t="shared" si="2"/>
        <v/>
      </c>
    </row>
    <row r="135" spans="1:3" x14ac:dyDescent="0.3">
      <c r="A135" t="s">
        <v>0</v>
      </c>
      <c r="B135" t="s">
        <v>263</v>
      </c>
      <c r="C135" t="str">
        <f t="shared" si="2"/>
        <v/>
      </c>
    </row>
    <row r="136" spans="1:3" x14ac:dyDescent="0.3">
      <c r="A136" t="s">
        <v>1</v>
      </c>
      <c r="B136" t="s">
        <v>264</v>
      </c>
      <c r="C136" t="str">
        <f t="shared" si="2"/>
        <v/>
      </c>
    </row>
    <row r="137" spans="1:3" x14ac:dyDescent="0.3">
      <c r="A137" t="s">
        <v>6</v>
      </c>
      <c r="B137" t="s">
        <v>265</v>
      </c>
      <c r="C137" t="str">
        <f t="shared" si="2"/>
        <v/>
      </c>
    </row>
    <row r="138" spans="1:3" x14ac:dyDescent="0.3">
      <c r="A138" t="s">
        <v>7</v>
      </c>
      <c r="B138" t="s">
        <v>266</v>
      </c>
      <c r="C138" t="str">
        <f t="shared" si="2"/>
        <v/>
      </c>
    </row>
    <row r="139" spans="1:3" x14ac:dyDescent="0.3">
      <c r="A139" t="s">
        <v>8</v>
      </c>
      <c r="B139" t="s">
        <v>267</v>
      </c>
      <c r="C139" t="str">
        <f t="shared" si="2"/>
        <v/>
      </c>
    </row>
    <row r="140" spans="1:3" x14ac:dyDescent="0.3">
      <c r="A140" t="s">
        <v>9</v>
      </c>
      <c r="B140" t="s">
        <v>268</v>
      </c>
      <c r="C140" t="str">
        <f t="shared" si="2"/>
        <v/>
      </c>
    </row>
    <row r="141" spans="1:3" x14ac:dyDescent="0.3">
      <c r="A141" t="s">
        <v>10</v>
      </c>
      <c r="B141" t="s">
        <v>269</v>
      </c>
      <c r="C141" t="str">
        <f t="shared" si="2"/>
        <v/>
      </c>
    </row>
    <row r="142" spans="1:3" x14ac:dyDescent="0.3">
      <c r="A142" t="s">
        <v>11</v>
      </c>
      <c r="B142" t="s">
        <v>270</v>
      </c>
      <c r="C142" t="str">
        <f t="shared" si="2"/>
        <v/>
      </c>
    </row>
    <row r="143" spans="1:3" x14ac:dyDescent="0.3">
      <c r="A143" t="s">
        <v>12</v>
      </c>
      <c r="B143" t="s">
        <v>271</v>
      </c>
      <c r="C143" t="str">
        <f t="shared" si="2"/>
        <v/>
      </c>
    </row>
    <row r="144" spans="1:3" x14ac:dyDescent="0.3">
      <c r="A144" t="s">
        <v>13</v>
      </c>
      <c r="B144" t="s">
        <v>272</v>
      </c>
      <c r="C144" t="str">
        <f t="shared" si="2"/>
        <v/>
      </c>
    </row>
    <row r="145" spans="1:3" x14ac:dyDescent="0.3">
      <c r="A145" t="s">
        <v>14</v>
      </c>
      <c r="B145" t="s">
        <v>273</v>
      </c>
      <c r="C145" t="str">
        <f t="shared" si="2"/>
        <v/>
      </c>
    </row>
    <row r="146" spans="1:3" x14ac:dyDescent="0.3">
      <c r="A146" t="s">
        <v>15</v>
      </c>
      <c r="B146" t="s">
        <v>274</v>
      </c>
      <c r="C146" t="str">
        <f t="shared" si="2"/>
        <v/>
      </c>
    </row>
    <row r="147" spans="1:3" x14ac:dyDescent="0.3">
      <c r="A147" t="s">
        <v>16</v>
      </c>
      <c r="B147" t="s">
        <v>275</v>
      </c>
      <c r="C147" t="str">
        <f t="shared" si="2"/>
        <v/>
      </c>
    </row>
    <row r="148" spans="1:3" x14ac:dyDescent="0.3">
      <c r="A148" t="s">
        <v>17</v>
      </c>
      <c r="B148" t="s">
        <v>276</v>
      </c>
      <c r="C148" t="str">
        <f t="shared" si="2"/>
        <v/>
      </c>
    </row>
    <row r="149" spans="1:3" x14ac:dyDescent="0.3">
      <c r="A149" t="s">
        <v>18</v>
      </c>
      <c r="B149" t="s">
        <v>277</v>
      </c>
      <c r="C149" t="str">
        <f t="shared" si="2"/>
        <v/>
      </c>
    </row>
    <row r="150" spans="1:3" x14ac:dyDescent="0.3">
      <c r="A150" t="s">
        <v>19</v>
      </c>
      <c r="B150" t="s">
        <v>278</v>
      </c>
      <c r="C150" t="str">
        <f t="shared" si="2"/>
        <v/>
      </c>
    </row>
    <row r="151" spans="1:3" x14ac:dyDescent="0.3">
      <c r="A151" t="s">
        <v>21</v>
      </c>
      <c r="B151" t="s">
        <v>279</v>
      </c>
      <c r="C151" t="str">
        <f t="shared" si="2"/>
        <v/>
      </c>
    </row>
    <row r="152" spans="1:3" x14ac:dyDescent="0.3">
      <c r="A152" t="s">
        <v>22</v>
      </c>
      <c r="B152" t="s">
        <v>280</v>
      </c>
      <c r="C152" t="str">
        <f t="shared" si="2"/>
        <v/>
      </c>
    </row>
    <row r="153" spans="1:3" x14ac:dyDescent="0.3">
      <c r="A153" t="s">
        <v>23</v>
      </c>
      <c r="B153" t="s">
        <v>281</v>
      </c>
      <c r="C153" t="str">
        <f t="shared" si="2"/>
        <v/>
      </c>
    </row>
    <row r="154" spans="1:3" x14ac:dyDescent="0.3">
      <c r="A154" t="s">
        <v>24</v>
      </c>
      <c r="B154" t="s">
        <v>282</v>
      </c>
      <c r="C154" t="str">
        <f t="shared" si="2"/>
        <v/>
      </c>
    </row>
    <row r="155" spans="1:3" x14ac:dyDescent="0.3">
      <c r="A155" t="s">
        <v>25</v>
      </c>
      <c r="B155" t="s">
        <v>283</v>
      </c>
      <c r="C155" t="str">
        <f t="shared" si="2"/>
        <v/>
      </c>
    </row>
    <row r="156" spans="1:3" x14ac:dyDescent="0.3">
      <c r="A156" t="s">
        <v>26</v>
      </c>
      <c r="B156" t="s">
        <v>284</v>
      </c>
      <c r="C156" t="str">
        <f t="shared" si="2"/>
        <v/>
      </c>
    </row>
    <row r="157" spans="1:3" x14ac:dyDescent="0.3">
      <c r="A157" t="s">
        <v>27</v>
      </c>
      <c r="B157" t="s">
        <v>362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2025-03-17T09:31:14Z</dcterms:modified>
</cp:coreProperties>
</file>