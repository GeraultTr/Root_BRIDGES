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Root_BRIDGES\simulations\inputs\"/>
    </mc:Choice>
  </mc:AlternateContent>
  <xr:revisionPtr revIDLastSave="0" documentId="13_ncr:1_{BCD01C8A-0E31-4F57-92F6-C5E8F5E3F5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3" i="2" l="1"/>
  <c r="I223" i="2"/>
  <c r="H223" i="2"/>
  <c r="J222" i="2"/>
  <c r="H222" i="2"/>
  <c r="I222" i="2"/>
  <c r="I225" i="2"/>
  <c r="I226" i="2" s="1"/>
  <c r="H225" i="2"/>
  <c r="J225" i="2"/>
  <c r="J234" i="2"/>
  <c r="H234" i="2"/>
  <c r="G234" i="2"/>
  <c r="J233" i="2"/>
  <c r="H233" i="2"/>
  <c r="G233" i="2"/>
  <c r="J218" i="2"/>
  <c r="I218" i="2"/>
  <c r="H213" i="2"/>
  <c r="H212" i="2"/>
  <c r="H210" i="2"/>
  <c r="J230" i="2"/>
  <c r="J227" i="2"/>
  <c r="J226" i="2"/>
  <c r="J212" i="2"/>
  <c r="J210" i="2"/>
  <c r="J130" i="2"/>
  <c r="J129" i="2"/>
  <c r="J120" i="2"/>
  <c r="J119" i="2"/>
  <c r="J117" i="2"/>
  <c r="J116" i="2"/>
  <c r="J110" i="2"/>
  <c r="J109" i="2"/>
  <c r="J108" i="2"/>
  <c r="J107" i="2"/>
  <c r="I213" i="2"/>
  <c r="I210" i="2"/>
  <c r="I230" i="2"/>
  <c r="I227" i="2"/>
  <c r="I130" i="2"/>
  <c r="I129" i="2"/>
  <c r="I120" i="2"/>
  <c r="I119" i="2"/>
  <c r="I117" i="2"/>
  <c r="I116" i="2"/>
  <c r="I110" i="2"/>
  <c r="I109" i="2"/>
  <c r="I108" i="2"/>
  <c r="I107" i="2"/>
  <c r="H230" i="2"/>
  <c r="H227" i="2"/>
  <c r="H226" i="2"/>
  <c r="G230" i="2"/>
  <c r="G227" i="2"/>
  <c r="G226" i="2"/>
  <c r="G225" i="2"/>
  <c r="G224" i="2"/>
  <c r="L129" i="2"/>
  <c r="M129" i="2"/>
  <c r="L130" i="2"/>
  <c r="M130" i="2"/>
  <c r="H129" i="2"/>
  <c r="H130" i="2"/>
  <c r="H218" i="2" l="1"/>
  <c r="H124" i="2"/>
  <c r="G218" i="2" l="1"/>
  <c r="H110" i="2" l="1"/>
  <c r="H108" i="2"/>
  <c r="H109" i="2"/>
  <c r="H107" i="2"/>
  <c r="G110" i="2"/>
  <c r="G109" i="2"/>
  <c r="G108" i="2"/>
  <c r="G107" i="2"/>
  <c r="H117" i="2"/>
  <c r="H116" i="2"/>
  <c r="H120" i="2"/>
  <c r="G116" i="2"/>
  <c r="G117" i="2"/>
  <c r="H119" i="2"/>
  <c r="G119" i="2"/>
  <c r="G12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<sst xmlns="http://schemas.openxmlformats.org/spreadsheetml/2006/main" count="1960" uniqueCount="580">
  <si>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</si>
  <si>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</si>
  <si>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</si>
  <si>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</si>
  <si>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</si>
  <si>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</si>
  <si>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</si>
  <si>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</si>
  <si>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</si>
  <si>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</si>
  <si>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</si>
  <si>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</si>
  <si>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</si>
  <si>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</si>
  <si>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</si>
  <si>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</si>
  <si>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</si>
  <si>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</si>
  <si>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</si>
  <si>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</si>
  <si>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</si>
  <si>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</si>
  <si>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</si>
  <si>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</si>
  <si>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</si>
  <si>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</si>
  <si>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</si>
  <si>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</si>
  <si>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</si>
  <si>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</si>
  <si>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</si>
  <si>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</si>
  <si>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</si>
  <si>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</si>
  <si>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</si>
  <si>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</si>
  <si>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</si>
  <si>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</si>
  <si>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</si>
  <si>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</si>
  <si>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</si>
  <si>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</si>
  <si>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</si>
  <si>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</si>
  <si>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</si>
  <si>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</si>
  <si>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</si>
  <si>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</si>
  <si>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</si>
  <si>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</si>
  <si>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</si>
  <si>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</si>
  <si>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</si>
  <si>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</si>
  <si>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</si>
  <si>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</si>
  <si>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</si>
  <si>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</si>
  <si>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</si>
  <si>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</si>
  <si>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</si>
  <si>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</si>
  <si>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</si>
  <si>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</si>
  <si>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</si>
  <si>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</si>
  <si>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</si>
  <si>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</si>
  <si>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</si>
  <si>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</si>
  <si>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</si>
  <si>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</si>
  <si>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</si>
  <si>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</si>
  <si>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</si>
  <si>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</si>
  <si>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</si>
  <si>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</si>
  <si>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</si>
  <si>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</si>
  <si>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</si>
  <si>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</si>
  <si>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</si>
  <si>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</si>
  <si>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</si>
  <si>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</si>
  <si>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</si>
  <si>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</si>
  <si>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</si>
  <si>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</si>
  <si>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</si>
  <si>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</si>
  <si>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</si>
  <si>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</si>
  <si>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</si>
  <si>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</si>
  <si>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</si>
  <si>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</si>
  <si>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</si>
  <si>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</si>
  <si>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</si>
  <si>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</si>
  <si>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</si>
  <si>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</si>
  <si>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</si>
  <si>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</si>
  <si>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</si>
  <si>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</si>
  <si>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</si>
  <si>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</si>
  <si>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</si>
  <si>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</si>
  <si>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</si>
  <si>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</si>
  <si>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</si>
  <si>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</si>
  <si>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</si>
  <si>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</si>
  <si>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</si>
  <si>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</si>
  <si>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</si>
  <si>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</si>
  <si>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</si>
  <si>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</si>
  <si>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</si>
  <si>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</si>
  <si>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</si>
  <si>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</si>
  <si>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</si>
  <si>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</si>
  <si>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</si>
  <si>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</si>
  <si>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</si>
  <si>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</si>
  <si>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</si>
  <si>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</si>
  <si>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</si>
  <si>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</si>
  <si>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</si>
  <si>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</si>
  <si>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</si>
  <si>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</si>
  <si>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</si>
  <si>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</si>
  <si>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</si>
  <si>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</si>
  <si>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</si>
  <si>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</si>
  <si>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</si>
  <si>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</si>
  <si>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</si>
  <si>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</si>
  <si>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</si>
  <si>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</si>
  <si>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</si>
  <si>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</si>
  <si>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</si>
  <si>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</si>
  <si>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</si>
  <si>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</si>
  <si>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</si>
  <si>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</si>
  <si>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</si>
  <si>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</si>
  <si>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</si>
  <si>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</si>
  <si>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</si>
  <si>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</si>
  <si>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</si>
  <si>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</si>
  <si>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</si>
  <si>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</si>
  <si>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</si>
  <si>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</si>
  <si>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</si>
  <si>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</si>
  <si>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</si>
  <si>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</si>
  <si>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</si>
  <si>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</si>
  <si>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</si>
  <si>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</si>
  <si>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</si>
  <si>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</si>
  <si>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</si>
  <si>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</si>
  <si>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</si>
  <si>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</si>
  <si>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</si>
  <si>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</si>
  <si>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</si>
  <si>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</si>
  <si>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</si>
  <si>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</si>
  <si>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</si>
  <si>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</si>
  <si>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</si>
  <si>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</si>
  <si>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</si>
  <si>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</si>
  <si>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</si>
  <si>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</si>
  <si>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</si>
  <si>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</si>
  <si>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</si>
  <si>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</si>
  <si>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</si>
  <si>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</si>
  <si>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</si>
  <si>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</si>
  <si>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</si>
  <si>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</si>
  <si>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</si>
  <si>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</si>
  <si>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</si>
  <si>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</si>
  <si>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</si>
  <si>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</si>
  <si>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</si>
  <si>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</si>
  <si>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</si>
  <si>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</si>
  <si>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</si>
  <si>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</si>
  <si>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</si>
  <si>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</si>
  <si>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</si>
  <si>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</si>
  <si>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</si>
  <si>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</si>
  <si>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</si>
  <si>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</si>
  <si>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</si>
  <si>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</si>
  <si>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</si>
  <si>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</si>
  <si>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</si>
  <si>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</si>
  <si>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</si>
  <si>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</si>
  <si>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</si>
  <si>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</si>
  <si>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</si>
  <si>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</si>
  <si>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</si>
  <si>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</si>
  <si>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</si>
  <si>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</si>
  <si>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</si>
  <si>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</si>
  <si>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</si>
  <si>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</si>
  <si>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</si>
  <si>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</si>
  <si>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</si>
  <si>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</si>
  <si>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</si>
  <si>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</si>
  <si>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</si>
  <si>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</si>
  <si>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</si>
  <si>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</si>
  <si>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</si>
  <si>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</si>
  <si>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</si>
  <si>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</si>
  <si>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</si>
  <si>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</si>
  <si>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</si>
  <si>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</si>
  <si>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</si>
  <si>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</si>
  <si>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</si>
  <si>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</si>
  <si>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</si>
  <si>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</si>
  <si>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</si>
  <si>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</si>
  <si>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</si>
  <si>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</si>
  <si>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</si>
  <si>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</si>
  <si>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</si>
  <si>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</si>
  <si>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</si>
  <si>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</si>
  <si>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</si>
  <si>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</si>
  <si>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</si>
  <si>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</si>
  <si>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</si>
  <si>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</si>
  <si>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</si>
  <si>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</si>
  <si>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</si>
  <si>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</si>
  <si>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</si>
  <si>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</si>
  <si>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</si>
  <si>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</si>
  <si>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</si>
  <si>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</si>
  <si>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</si>
  <si>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</si>
  <si>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</si>
  <si>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</si>
  <si>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</si>
  <si>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</si>
  <si>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</si>
  <si>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</si>
  <si>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</si>
  <si>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</si>
  <si>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</si>
  <si>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</si>
  <si>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</si>
  <si>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</si>
  <si>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</si>
  <si>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</si>
  <si>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</si>
  <si>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</si>
  <si>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</si>
  <si>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</si>
  <si>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</si>
  <si>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</si>
  <si>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</si>
  <si>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</si>
  <si>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</si>
  <si>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</si>
  <si>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</si>
  <si>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</si>
  <si>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</si>
  <si>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</si>
  <si>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</si>
  <si>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</si>
  <si>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</si>
  <si>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</si>
  <si>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</si>
  <si>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</si>
  <si>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</si>
  <si>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</si>
  <si>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</si>
  <si>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</si>
  <si>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</si>
  <si>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</si>
  <si>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</si>
  <si>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</si>
  <si>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</si>
  <si>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</si>
  <si>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</si>
  <si>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</si>
  <si>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</si>
  <si>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</si>
  <si>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</si>
  <si>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</si>
  <si>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</si>
  <si>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</si>
  <si>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</si>
  <si>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</si>
  <si>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</si>
  <si>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</si>
  <si>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</si>
  <si>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</si>
  <si>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</si>
  <si>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</si>
  <si>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</si>
  <si>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</si>
  <si>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</si>
  <si>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</si>
  <si>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</si>
  <si>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</si>
  <si>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</si>
  <si>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</si>
  <si>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</si>
  <si>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</si>
  <si>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</si>
  <si>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</si>
  <si>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</si>
  <si>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</si>
  <si>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</si>
  <si>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</si>
  <si>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</si>
  <si>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</si>
  <si>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</si>
  <si>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</si>
  <si>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</si>
  <si>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</si>
  <si>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</si>
  <si>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</si>
  <si>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</si>
  <si>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</si>
  <si>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</si>
  <si>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</si>
  <si>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</si>
  <si>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</si>
  <si>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</si>
  <si>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</si>
  <si>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</si>
  <si>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</si>
  <si>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</si>
  <si>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</si>
  <si>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</si>
  <si>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</si>
  <si>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</si>
  <si>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</si>
  <si>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</si>
  <si>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</si>
  <si>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</si>
  <si>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</si>
  <si>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</si>
  <si>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</si>
  <si>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</si>
  <si>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</si>
  <si>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</si>
  <si>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</si>
  <si>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</si>
  <si>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</si>
  <si>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</si>
  <si>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</si>
  <si>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</si>
  <si>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</si>
  <si>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</si>
  <si>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</si>
  <si>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</si>
  <si>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</si>
  <si>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</si>
  <si>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</si>
  <si>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</si>
  <si>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</si>
  <si>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</si>
  <si>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</si>
  <si>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</si>
  <si>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</si>
  <si>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</si>
  <si>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</si>
  <si>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</si>
  <si>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</si>
  <si>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</si>
  <si>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</si>
  <si>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</si>
  <si>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</si>
  <si>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</si>
  <si>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</si>
  <si>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</si>
  <si>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</si>
  <si>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</si>
  <si>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</si>
  <si>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</si>
  <si>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</si>
  <si>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</si>
  <si>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</si>
  <si>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</si>
  <si>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</si>
  <si>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</si>
  <si>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</si>
  <si>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</si>
  <si>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</si>
  <si>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</si>
  <si>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</si>
  <si>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</si>
  <si>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</si>
  <si>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</si>
  <si>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</si>
  <si>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</si>
  <si>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</si>
  <si>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</si>
  <si>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</si>
  <si>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</si>
  <si>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</si>
  <si>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</si>
  <si>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</si>
  <si>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</si>
  <si>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</si>
  <si>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</si>
  <si>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</si>
  <si>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</si>
  <si>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</si>
  <si>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</si>
  <si>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</si>
  <si>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</si>
  <si>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</si>
  <si>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</si>
  <si>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</si>
  <si>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</si>
  <si>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</si>
  <si>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</si>
  <si>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</si>
  <si>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</si>
  <si>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</si>
  <si>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</si>
  <si>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</si>
  <si>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</si>
  <si>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</si>
  <si>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</si>
  <si>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</si>
  <si>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</si>
  <si>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</si>
  <si>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</si>
  <si>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Pa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</si>
  <si>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</si>
  <si>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</si>
  <si>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</si>
  <si>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</si>
  <si>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</si>
  <si>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</si>
  <si>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</si>
  <si>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</si>
  <si>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</si>
  <si>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</si>
  <si>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</si>
  <si>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</si>
  <si>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</si>
  <si>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</si>
  <si>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</si>
  <si>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</si>
  <si>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</si>
  <si>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</si>
  <si>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xylem_total_pressure</t>
  </si>
  <si>
    <t>xylem uniform pressure</t>
  </si>
  <si>
    <t>cortical_surfacic_fraction</t>
  </si>
  <si>
    <t>Cortex (+epidermis) parenchyma surface ratio over root segment's cylinder surface</t>
  </si>
  <si>
    <t>Km_elongation_amino_acids</t>
  </si>
  <si>
    <t>Affinity constant for root elongation regarding amino_acids consumption</t>
  </si>
  <si>
    <t>mol.g-1 DW</t>
  </si>
  <si>
    <t>cortex_water_conductivity</t>
  </si>
  <si>
    <t>Symplasmic absorption water conductivity</t>
  </si>
  <si>
    <t>m.s-1.Pa-1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</si>
  <si>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</si>
  <si>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</si>
  <si>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</si>
  <si>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</si>
  <si>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</si>
  <si>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</si>
  <si>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</si>
  <si>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</si>
  <si>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</si>
  <si>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</si>
  <si>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</si>
  <si>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</si>
  <si>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</si>
  <si>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</si>
  <si>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</si>
  <si>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</si>
  <si>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</si>
  <si>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</si>
  <si>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</si>
  <si>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</si>
  <si>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apoplasmic_water_conductivity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</si>
  <si>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</si>
  <si>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</si>
  <si>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</si>
  <si>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</si>
  <si>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</si>
  <si>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</si>
  <si>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</si>
  <si>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</si>
  <si>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</si>
  <si>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</si>
  <si>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</si>
  <si>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</si>
  <si>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</si>
  <si>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Transmembrane water conductivity</t>
  </si>
  <si>
    <t>Apoplasmic water conductivity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</si>
  <si>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</si>
  <si>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</si>
  <si>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</si>
  <si>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</si>
  <si>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</si>
  <si>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</si>
  <si>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</si>
  <si>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</si>
  <si>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</si>
  <si>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</si>
  <si>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</si>
  <si>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</si>
  <si>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</si>
  <si>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</si>
  <si>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</si>
  <si>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</si>
  <si>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</si>
  <si>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mol.s-1.Pa-1.m-2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</si>
</sst>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34"/>
  <sheetViews>
    <sheetView tabSelected="1" zoomScale="89" workbookViewId="0">
      <pane xSplit="7" ySplit="1" topLeftCell="H198" activePane="bottomRight" state="frozen"/>
      <selection pane="topRight" activeCell="H1" sqref="H1"/>
      <selection pane="bottomLeft" activeCell="A2" sqref="A2"/>
      <selection pane="bottomRight" activeCell="J223" sqref="J223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3" width="39.85546875" style="1" customWidth="1"/>
  </cols>
  <sheetData>
    <row r="1" spans="1:13" s="1" customFormat="1" x14ac:dyDescent="0.25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575</v>
      </c>
      <c r="J1" s="97" t="s">
        <v>576</v>
      </c>
      <c r="L1" s="97" t="s">
        <v>530</v>
      </c>
      <c r="M1" s="97" t="s">
        <v>531</v>
      </c>
    </row>
    <row r="2" spans="1:13" s="1" customFormat="1" x14ac:dyDescent="0.25">
      <c r="A2" s="2" t="s">
        <v>532</v>
      </c>
      <c r="B2" s="2" t="s">
        <v>533</v>
      </c>
      <c r="C2" s="2" t="s">
        <v>487</v>
      </c>
      <c r="D2" s="2" t="s">
        <v>540</v>
      </c>
      <c r="E2" s="96" t="s">
        <v>534</v>
      </c>
      <c r="F2" s="96" t="s">
        <v>535</v>
      </c>
      <c r="G2" s="35" t="s">
        <v>536</v>
      </c>
      <c r="H2" s="36" t="s">
        <v>476</v>
      </c>
      <c r="I2" s="36" t="s">
        <v>476</v>
      </c>
      <c r="J2" s="36" t="s">
        <v>476</v>
      </c>
      <c r="L2" s="36" t="s">
        <v>536</v>
      </c>
      <c r="M2" s="36" t="s">
        <v>476</v>
      </c>
    </row>
    <row r="3" spans="1:13" s="1" customFormat="1" ht="15" customHeight="1" x14ac:dyDescent="0.25">
      <c r="A3" s="2" t="s">
        <v>472</v>
      </c>
      <c r="B3" s="2" t="s">
        <v>473</v>
      </c>
      <c r="C3" s="2" t="s">
        <v>487</v>
      </c>
      <c r="D3" s="2" t="s">
        <v>540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L3" s="36" t="s">
        <v>489</v>
      </c>
      <c r="M3" s="36" t="s">
        <v>489</v>
      </c>
    </row>
    <row r="4" spans="1:13" s="1" customFormat="1" ht="15" customHeight="1" x14ac:dyDescent="0.25">
      <c r="A4" s="2" t="s">
        <v>484</v>
      </c>
      <c r="B4" s="2" t="s">
        <v>473</v>
      </c>
      <c r="C4" s="2" t="s">
        <v>487</v>
      </c>
      <c r="D4" s="2" t="s">
        <v>540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L4" s="36" t="s">
        <v>482</v>
      </c>
      <c r="M4" s="36" t="s">
        <v>482</v>
      </c>
    </row>
    <row r="5" spans="1:13" s="1" customFormat="1" ht="15" customHeight="1" x14ac:dyDescent="0.25">
      <c r="A5" s="2" t="s">
        <v>483</v>
      </c>
      <c r="B5" s="2" t="s">
        <v>473</v>
      </c>
      <c r="C5" s="2" t="s">
        <v>487</v>
      </c>
      <c r="D5" s="2" t="s">
        <v>540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L5" s="36" t="s">
        <v>494</v>
      </c>
      <c r="M5" s="36" t="s">
        <v>494</v>
      </c>
    </row>
    <row r="6" spans="1:13" s="1" customFormat="1" ht="18.75" customHeight="1" x14ac:dyDescent="0.25">
      <c r="A6" s="2" t="s">
        <v>490</v>
      </c>
      <c r="B6" s="2" t="s">
        <v>473</v>
      </c>
      <c r="C6" s="2" t="s">
        <v>487</v>
      </c>
      <c r="D6" s="2" t="s">
        <v>540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529</v>
      </c>
      <c r="J6" s="36" t="s">
        <v>529</v>
      </c>
      <c r="L6" s="36" t="s">
        <v>529</v>
      </c>
      <c r="M6" s="36" t="s">
        <v>529</v>
      </c>
    </row>
    <row r="7" spans="1:13" s="1" customFormat="1" ht="15" customHeight="1" x14ac:dyDescent="0.25">
      <c r="A7" s="2" t="s">
        <v>485</v>
      </c>
      <c r="B7" s="2" t="s">
        <v>473</v>
      </c>
      <c r="C7" s="2" t="s">
        <v>487</v>
      </c>
      <c r="D7" s="2" t="s">
        <v>540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L7" s="36" t="s">
        <v>494</v>
      </c>
      <c r="M7" s="36" t="s">
        <v>494</v>
      </c>
    </row>
    <row r="8" spans="1:13" s="1" customFormat="1" ht="15" customHeight="1" x14ac:dyDescent="0.25">
      <c r="A8" s="2" t="s">
        <v>537</v>
      </c>
      <c r="B8" s="2" t="s">
        <v>471</v>
      </c>
      <c r="C8" s="2" t="s">
        <v>487</v>
      </c>
      <c r="D8" s="2" t="s">
        <v>540</v>
      </c>
      <c r="E8" s="8" t="s">
        <v>538</v>
      </c>
      <c r="F8" s="8" t="s">
        <v>539</v>
      </c>
      <c r="G8" s="51">
        <v>0</v>
      </c>
      <c r="H8" s="36">
        <v>0</v>
      </c>
      <c r="I8" s="36">
        <v>0</v>
      </c>
      <c r="J8" s="36">
        <v>0</v>
      </c>
      <c r="L8" s="36">
        <v>0</v>
      </c>
      <c r="M8" s="36">
        <v>0</v>
      </c>
    </row>
    <row r="9" spans="1:13" x14ac:dyDescent="0.25">
      <c r="A9" s="3" t="s">
        <v>2</v>
      </c>
      <c r="B9" s="3" t="s">
        <v>471</v>
      </c>
      <c r="C9" s="2" t="s">
        <v>487</v>
      </c>
      <c r="D9" s="2" t="s">
        <v>540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L9" s="77" t="s">
        <v>87</v>
      </c>
      <c r="M9" s="77" t="s">
        <v>87</v>
      </c>
    </row>
    <row r="10" spans="1:13" x14ac:dyDescent="0.25">
      <c r="A10" s="3" t="s">
        <v>3</v>
      </c>
      <c r="B10" s="3" t="s">
        <v>471</v>
      </c>
      <c r="C10" s="2" t="s">
        <v>487</v>
      </c>
      <c r="D10" s="2" t="s">
        <v>540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L10" s="77">
        <v>1</v>
      </c>
      <c r="M10" s="77">
        <v>1</v>
      </c>
    </row>
    <row r="11" spans="1:13" x14ac:dyDescent="0.25">
      <c r="A11" s="74" t="s">
        <v>444</v>
      </c>
      <c r="B11" s="3" t="s">
        <v>471</v>
      </c>
      <c r="C11" s="2" t="s">
        <v>487</v>
      </c>
      <c r="D11" s="2" t="s">
        <v>540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L11" s="77" t="s">
        <v>88</v>
      </c>
      <c r="M11" s="77" t="s">
        <v>88</v>
      </c>
    </row>
    <row r="12" spans="1:13" x14ac:dyDescent="0.25">
      <c r="A12" s="5" t="s">
        <v>4</v>
      </c>
      <c r="B12" s="3" t="s">
        <v>471</v>
      </c>
      <c r="C12" s="2" t="s">
        <v>487</v>
      </c>
      <c r="D12" s="2" t="s">
        <v>540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L12" s="85">
        <v>180</v>
      </c>
      <c r="M12" s="85">
        <v>180</v>
      </c>
    </row>
    <row r="13" spans="1:13" x14ac:dyDescent="0.25">
      <c r="A13" s="5" t="s">
        <v>5</v>
      </c>
      <c r="B13" s="3" t="s">
        <v>471</v>
      </c>
      <c r="C13" s="2" t="s">
        <v>487</v>
      </c>
      <c r="D13" s="2" t="s">
        <v>540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L13" s="78">
        <v>4.1666666999999998E-2</v>
      </c>
      <c r="M13" s="78">
        <v>4.1666666999999998E-2</v>
      </c>
    </row>
    <row r="14" spans="1:13" x14ac:dyDescent="0.25">
      <c r="A14" s="5" t="s">
        <v>20</v>
      </c>
      <c r="B14" s="3" t="s">
        <v>471</v>
      </c>
      <c r="C14" s="2" t="s">
        <v>487</v>
      </c>
      <c r="D14" s="2" t="s">
        <v>540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L14" s="79">
        <v>4.1666666999999998E-2</v>
      </c>
      <c r="M14" s="79">
        <v>4.1666666999999998E-2</v>
      </c>
    </row>
    <row r="15" spans="1:13" x14ac:dyDescent="0.25">
      <c r="A15" s="7" t="s">
        <v>1</v>
      </c>
      <c r="B15" s="3" t="s">
        <v>471</v>
      </c>
      <c r="C15" s="2" t="s">
        <v>487</v>
      </c>
      <c r="D15" s="2" t="s">
        <v>540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L15" s="77">
        <v>1</v>
      </c>
      <c r="M15" s="77">
        <v>1</v>
      </c>
    </row>
    <row r="16" spans="1:13" x14ac:dyDescent="0.25">
      <c r="A16" s="7" t="s">
        <v>448</v>
      </c>
      <c r="B16" s="3" t="s">
        <v>471</v>
      </c>
      <c r="C16" s="2" t="s">
        <v>487</v>
      </c>
      <c r="D16" s="2" t="s">
        <v>540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L16" s="77">
        <v>0</v>
      </c>
      <c r="M16" s="77">
        <v>0</v>
      </c>
    </row>
    <row r="17" spans="1:13" x14ac:dyDescent="0.25">
      <c r="A17" s="7" t="s">
        <v>6</v>
      </c>
      <c r="B17" s="3" t="s">
        <v>471</v>
      </c>
      <c r="C17" s="2" t="s">
        <v>487</v>
      </c>
      <c r="D17" s="2" t="s">
        <v>540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L17" s="77" t="s">
        <v>88</v>
      </c>
      <c r="M17" s="77" t="s">
        <v>88</v>
      </c>
    </row>
    <row r="18" spans="1:13" x14ac:dyDescent="0.25">
      <c r="A18" s="7" t="s">
        <v>7</v>
      </c>
      <c r="B18" s="3" t="s">
        <v>471</v>
      </c>
      <c r="C18" s="2" t="s">
        <v>487</v>
      </c>
      <c r="D18" s="2" t="s">
        <v>540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L18" s="80">
        <v>5.0000000000000001E-9</v>
      </c>
      <c r="M18" s="80">
        <v>5.0000000000000001E-9</v>
      </c>
    </row>
    <row r="19" spans="1:13" x14ac:dyDescent="0.25">
      <c r="A19" s="7" t="s">
        <v>8</v>
      </c>
      <c r="B19" s="3" t="s">
        <v>471</v>
      </c>
      <c r="C19" s="2" t="s">
        <v>487</v>
      </c>
      <c r="D19" s="2" t="s">
        <v>540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L19" s="77">
        <v>10</v>
      </c>
      <c r="M19" s="77">
        <v>10</v>
      </c>
    </row>
    <row r="20" spans="1:13" x14ac:dyDescent="0.25">
      <c r="A20" s="7" t="s">
        <v>461</v>
      </c>
      <c r="B20" s="3" t="s">
        <v>471</v>
      </c>
      <c r="C20" s="2" t="s">
        <v>487</v>
      </c>
      <c r="D20" s="2" t="s">
        <v>540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L20" s="77" t="s">
        <v>88</v>
      </c>
      <c r="M20" s="77" t="s">
        <v>88</v>
      </c>
    </row>
    <row r="21" spans="1:13" x14ac:dyDescent="0.25">
      <c r="A21" s="7" t="s">
        <v>462</v>
      </c>
      <c r="B21" s="3" t="s">
        <v>471</v>
      </c>
      <c r="C21" s="2" t="s">
        <v>487</v>
      </c>
      <c r="D21" s="2" t="s">
        <v>540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L21" s="77" t="s">
        <v>88</v>
      </c>
      <c r="M21" s="77" t="s">
        <v>88</v>
      </c>
    </row>
    <row r="22" spans="1:13" x14ac:dyDescent="0.25">
      <c r="A22" s="7" t="s">
        <v>465</v>
      </c>
      <c r="B22" s="3" t="s">
        <v>471</v>
      </c>
      <c r="C22" s="2" t="s">
        <v>487</v>
      </c>
      <c r="D22" s="2" t="s">
        <v>540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L22" s="77" t="s">
        <v>88</v>
      </c>
      <c r="M22" s="77" t="s">
        <v>88</v>
      </c>
    </row>
    <row r="23" spans="1:13" x14ac:dyDescent="0.25">
      <c r="A23" s="7" t="s">
        <v>467</v>
      </c>
      <c r="B23" s="3" t="s">
        <v>471</v>
      </c>
      <c r="C23" s="2" t="s">
        <v>487</v>
      </c>
      <c r="D23" s="2" t="s">
        <v>540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L23" s="77">
        <v>86400</v>
      </c>
      <c r="M23" s="77">
        <v>86400</v>
      </c>
    </row>
    <row r="24" spans="1:13" x14ac:dyDescent="0.25">
      <c r="A24" s="9" t="s">
        <v>10</v>
      </c>
      <c r="B24" s="3" t="s">
        <v>471</v>
      </c>
      <c r="C24" s="2" t="s">
        <v>487</v>
      </c>
      <c r="D24" s="2" t="s">
        <v>540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L24" s="77" t="s">
        <v>87</v>
      </c>
      <c r="M24" s="77" t="s">
        <v>87</v>
      </c>
    </row>
    <row r="25" spans="1:13" x14ac:dyDescent="0.25">
      <c r="A25" s="9" t="s">
        <v>11</v>
      </c>
      <c r="B25" s="3" t="s">
        <v>471</v>
      </c>
      <c r="C25" s="2" t="s">
        <v>487</v>
      </c>
      <c r="D25" s="2" t="s">
        <v>540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L25" s="77">
        <v>3</v>
      </c>
      <c r="M25" s="77">
        <v>3</v>
      </c>
    </row>
    <row r="26" spans="1:13" x14ac:dyDescent="0.25">
      <c r="A26" s="9" t="s">
        <v>363</v>
      </c>
      <c r="B26" s="3" t="s">
        <v>471</v>
      </c>
      <c r="C26" s="2" t="s">
        <v>487</v>
      </c>
      <c r="D26" s="2" t="s">
        <v>540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L26" s="81" t="s">
        <v>88</v>
      </c>
      <c r="M26" s="81" t="s">
        <v>88</v>
      </c>
    </row>
    <row r="27" spans="1:13" x14ac:dyDescent="0.25">
      <c r="A27" s="9" t="s">
        <v>365</v>
      </c>
      <c r="B27" s="3" t="s">
        <v>471</v>
      </c>
      <c r="C27" s="2" t="s">
        <v>487</v>
      </c>
      <c r="D27" s="2" t="s">
        <v>540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L27" s="81" t="s">
        <v>88</v>
      </c>
      <c r="M27" s="81" t="s">
        <v>88</v>
      </c>
    </row>
    <row r="28" spans="1:13" x14ac:dyDescent="0.25">
      <c r="A28" s="9" t="s">
        <v>377</v>
      </c>
      <c r="B28" s="3" t="s">
        <v>471</v>
      </c>
      <c r="C28" s="2" t="s">
        <v>487</v>
      </c>
      <c r="D28" s="2" t="s">
        <v>540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L28" s="77" t="s">
        <v>88</v>
      </c>
      <c r="M28" s="77" t="s">
        <v>88</v>
      </c>
    </row>
    <row r="29" spans="1:13" x14ac:dyDescent="0.25">
      <c r="A29" s="9" t="s">
        <v>376</v>
      </c>
      <c r="B29" s="3" t="s">
        <v>471</v>
      </c>
      <c r="C29" s="2" t="s">
        <v>487</v>
      </c>
      <c r="D29" s="2" t="s">
        <v>540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L29" s="81" t="s">
        <v>88</v>
      </c>
      <c r="M29" s="81" t="s">
        <v>88</v>
      </c>
    </row>
    <row r="30" spans="1:13" x14ac:dyDescent="0.25">
      <c r="A30" s="9" t="s">
        <v>375</v>
      </c>
      <c r="B30" s="3" t="s">
        <v>471</v>
      </c>
      <c r="C30" s="2" t="s">
        <v>487</v>
      </c>
      <c r="D30" s="2" t="s">
        <v>540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L30" s="81" t="s">
        <v>88</v>
      </c>
      <c r="M30" s="81" t="s">
        <v>88</v>
      </c>
    </row>
    <row r="31" spans="1:13" x14ac:dyDescent="0.25">
      <c r="A31" s="9" t="s">
        <v>12</v>
      </c>
      <c r="B31" s="3" t="s">
        <v>471</v>
      </c>
      <c r="C31" s="2" t="s">
        <v>487</v>
      </c>
      <c r="D31" s="2" t="s">
        <v>540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L31" s="77" t="s">
        <v>88</v>
      </c>
      <c r="M31" s="77" t="s">
        <v>88</v>
      </c>
    </row>
    <row r="32" spans="1:13" x14ac:dyDescent="0.25">
      <c r="A32" s="9" t="s">
        <v>13</v>
      </c>
      <c r="B32" s="3" t="s">
        <v>471</v>
      </c>
      <c r="C32" s="2" t="s">
        <v>487</v>
      </c>
      <c r="D32" s="2" t="s">
        <v>540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L32" s="77">
        <v>0.33</v>
      </c>
      <c r="M32" s="77">
        <v>0.33</v>
      </c>
    </row>
    <row r="33" spans="1:13" x14ac:dyDescent="0.25">
      <c r="A33" s="9" t="s">
        <v>14</v>
      </c>
      <c r="B33" s="3" t="s">
        <v>471</v>
      </c>
      <c r="C33" s="2" t="s">
        <v>487</v>
      </c>
      <c r="D33" s="2" t="s">
        <v>540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L33" s="77" t="s">
        <v>88</v>
      </c>
      <c r="M33" s="77" t="s">
        <v>88</v>
      </c>
    </row>
    <row r="34" spans="1:13" x14ac:dyDescent="0.25">
      <c r="A34" s="9" t="s">
        <v>9</v>
      </c>
      <c r="B34" s="3" t="s">
        <v>471</v>
      </c>
      <c r="C34" s="2" t="s">
        <v>487</v>
      </c>
      <c r="D34" s="2" t="s">
        <v>540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L34" s="77" t="s">
        <v>88</v>
      </c>
      <c r="M34" s="77" t="s">
        <v>88</v>
      </c>
    </row>
    <row r="35" spans="1:13" x14ac:dyDescent="0.25">
      <c r="A35" s="9" t="s">
        <v>454</v>
      </c>
      <c r="B35" s="3" t="s">
        <v>471</v>
      </c>
      <c r="C35" s="2" t="s">
        <v>487</v>
      </c>
      <c r="D35" s="2" t="s">
        <v>540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L35" s="77" t="s">
        <v>88</v>
      </c>
      <c r="M35" s="77" t="s">
        <v>88</v>
      </c>
    </row>
    <row r="36" spans="1:13" x14ac:dyDescent="0.25">
      <c r="A36" s="13" t="s">
        <v>21</v>
      </c>
      <c r="B36" s="3" t="s">
        <v>471</v>
      </c>
      <c r="C36" s="2" t="s">
        <v>487</v>
      </c>
      <c r="D36" s="2" t="s">
        <v>540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L36" s="77" t="s">
        <v>87</v>
      </c>
      <c r="M36" s="77" t="s">
        <v>87</v>
      </c>
    </row>
    <row r="37" spans="1:13" x14ac:dyDescent="0.25">
      <c r="A37" s="13" t="s">
        <v>22</v>
      </c>
      <c r="B37" s="3" t="s">
        <v>471</v>
      </c>
      <c r="C37" s="2" t="s">
        <v>487</v>
      </c>
      <c r="D37" s="2" t="s">
        <v>540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L37" s="85" t="s">
        <v>433</v>
      </c>
      <c r="M37" s="85" t="s">
        <v>433</v>
      </c>
    </row>
    <row r="38" spans="1:13" x14ac:dyDescent="0.25">
      <c r="A38" s="13" t="s">
        <v>23</v>
      </c>
      <c r="B38" s="3" t="s">
        <v>471</v>
      </c>
      <c r="C38" s="2" t="s">
        <v>487</v>
      </c>
      <c r="D38" s="2" t="s">
        <v>540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L38" s="80">
        <v>9.9999999999999995E-7</v>
      </c>
      <c r="M38" s="80">
        <v>9.9999999999999995E-7</v>
      </c>
    </row>
    <row r="39" spans="1:13" x14ac:dyDescent="0.25">
      <c r="A39" s="13" t="s">
        <v>24</v>
      </c>
      <c r="B39" s="3" t="s">
        <v>471</v>
      </c>
      <c r="C39" s="2" t="s">
        <v>487</v>
      </c>
      <c r="D39" s="2" t="s">
        <v>540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L39" s="86">
        <v>1E-3</v>
      </c>
      <c r="M39" s="86">
        <v>1E-3</v>
      </c>
    </row>
    <row r="40" spans="1:13" x14ac:dyDescent="0.25">
      <c r="A40" s="13" t="s">
        <v>25</v>
      </c>
      <c r="B40" s="3" t="s">
        <v>471</v>
      </c>
      <c r="C40" s="2" t="s">
        <v>487</v>
      </c>
      <c r="D40" s="2" t="s">
        <v>540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L40" s="77" t="s">
        <v>87</v>
      </c>
      <c r="M40" s="77" t="s">
        <v>87</v>
      </c>
    </row>
    <row r="41" spans="1:13" x14ac:dyDescent="0.25">
      <c r="A41" s="13" t="s">
        <v>26</v>
      </c>
      <c r="B41" s="3" t="s">
        <v>471</v>
      </c>
      <c r="C41" s="2" t="s">
        <v>487</v>
      </c>
      <c r="D41" s="2" t="s">
        <v>540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L41" s="77" t="s">
        <v>89</v>
      </c>
      <c r="M41" s="77" t="s">
        <v>89</v>
      </c>
    </row>
    <row r="42" spans="1:13" x14ac:dyDescent="0.25">
      <c r="A42" s="13" t="s">
        <v>27</v>
      </c>
      <c r="B42" s="3" t="s">
        <v>471</v>
      </c>
      <c r="C42" s="2" t="s">
        <v>487</v>
      </c>
      <c r="D42" s="2" t="s">
        <v>540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L42" s="77" t="s">
        <v>87</v>
      </c>
      <c r="M42" s="77" t="s">
        <v>87</v>
      </c>
    </row>
    <row r="43" spans="1:13" x14ac:dyDescent="0.25">
      <c r="A43" s="13" t="s">
        <v>28</v>
      </c>
      <c r="B43" s="3" t="s">
        <v>471</v>
      </c>
      <c r="C43" s="2" t="s">
        <v>487</v>
      </c>
      <c r="D43" s="2" t="s">
        <v>540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L43" s="77" t="s">
        <v>88</v>
      </c>
      <c r="M43" s="77" t="s">
        <v>88</v>
      </c>
    </row>
    <row r="44" spans="1:13" x14ac:dyDescent="0.25">
      <c r="A44" s="13" t="s">
        <v>29</v>
      </c>
      <c r="B44" s="3" t="s">
        <v>471</v>
      </c>
      <c r="C44" s="2" t="s">
        <v>487</v>
      </c>
      <c r="D44" s="2" t="s">
        <v>540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L44" s="77">
        <v>120</v>
      </c>
      <c r="M44" s="77">
        <v>120</v>
      </c>
    </row>
    <row r="45" spans="1:13" x14ac:dyDescent="0.25">
      <c r="A45" s="13" t="s">
        <v>30</v>
      </c>
      <c r="B45" s="3" t="s">
        <v>471</v>
      </c>
      <c r="C45" s="2" t="s">
        <v>487</v>
      </c>
      <c r="D45" s="2" t="s">
        <v>540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L45" s="77">
        <v>0</v>
      </c>
      <c r="M45" s="77">
        <v>0</v>
      </c>
    </row>
    <row r="46" spans="1:13" x14ac:dyDescent="0.25">
      <c r="A46" s="13" t="s">
        <v>31</v>
      </c>
      <c r="B46" s="3" t="s">
        <v>471</v>
      </c>
      <c r="C46" s="2" t="s">
        <v>487</v>
      </c>
      <c r="D46" s="2" t="s">
        <v>540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L46" s="77">
        <v>0</v>
      </c>
      <c r="M46" s="77">
        <v>0</v>
      </c>
    </row>
    <row r="47" spans="1:13" x14ac:dyDescent="0.25">
      <c r="A47" s="13" t="s">
        <v>32</v>
      </c>
      <c r="B47" s="3" t="s">
        <v>471</v>
      </c>
      <c r="C47" s="2" t="s">
        <v>487</v>
      </c>
      <c r="D47" s="2" t="s">
        <v>540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L47" s="77">
        <v>-0.1</v>
      </c>
      <c r="M47" s="77">
        <v>-0.1</v>
      </c>
    </row>
    <row r="48" spans="1:13" x14ac:dyDescent="0.25">
      <c r="A48" s="13" t="s">
        <v>33</v>
      </c>
      <c r="B48" s="3" t="s">
        <v>471</v>
      </c>
      <c r="C48" s="2" t="s">
        <v>487</v>
      </c>
      <c r="D48" s="2" t="s">
        <v>540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L48" s="77">
        <v>-0.2</v>
      </c>
      <c r="M48" s="77">
        <v>-0.2</v>
      </c>
    </row>
    <row r="49" spans="1:13" x14ac:dyDescent="0.25">
      <c r="A49" s="13" t="s">
        <v>34</v>
      </c>
      <c r="B49" s="3" t="s">
        <v>471</v>
      </c>
      <c r="C49" s="2" t="s">
        <v>487</v>
      </c>
      <c r="D49" s="2" t="s">
        <v>540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L49" s="77">
        <v>0.4</v>
      </c>
      <c r="M49" s="77">
        <v>0.4</v>
      </c>
    </row>
    <row r="50" spans="1:13" x14ac:dyDescent="0.25">
      <c r="A50" s="13" t="s">
        <v>35</v>
      </c>
      <c r="B50" s="3" t="s">
        <v>471</v>
      </c>
      <c r="C50" s="2" t="s">
        <v>487</v>
      </c>
      <c r="D50" s="2" t="s">
        <v>540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L50" s="77">
        <v>0</v>
      </c>
      <c r="M50" s="77">
        <v>0</v>
      </c>
    </row>
    <row r="51" spans="1:13" x14ac:dyDescent="0.25">
      <c r="A51" s="13" t="s">
        <v>434</v>
      </c>
      <c r="B51" s="3" t="s">
        <v>471</v>
      </c>
      <c r="C51" s="2" t="s">
        <v>487</v>
      </c>
      <c r="D51" s="2" t="s">
        <v>540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L51" s="77">
        <v>1200</v>
      </c>
      <c r="M51" s="77">
        <v>1200</v>
      </c>
    </row>
    <row r="52" spans="1:13" x14ac:dyDescent="0.25">
      <c r="A52" s="13" t="s">
        <v>435</v>
      </c>
      <c r="B52" s="3" t="s">
        <v>471</v>
      </c>
      <c r="C52" s="2" t="s">
        <v>487</v>
      </c>
      <c r="D52" s="2" t="s">
        <v>540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L52" s="77">
        <v>1200</v>
      </c>
      <c r="M52" s="77">
        <v>1200</v>
      </c>
    </row>
    <row r="53" spans="1:13" x14ac:dyDescent="0.25">
      <c r="A53" s="13" t="s">
        <v>457</v>
      </c>
      <c r="B53" s="3" t="s">
        <v>471</v>
      </c>
      <c r="C53" s="2" t="s">
        <v>487</v>
      </c>
      <c r="D53" s="2" t="s">
        <v>540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L53" s="35" t="s">
        <v>460</v>
      </c>
      <c r="M53" s="35" t="s">
        <v>460</v>
      </c>
    </row>
    <row r="54" spans="1:13" x14ac:dyDescent="0.25">
      <c r="A54" s="13" t="s">
        <v>15</v>
      </c>
      <c r="B54" s="3" t="s">
        <v>471</v>
      </c>
      <c r="C54" s="2" t="s">
        <v>487</v>
      </c>
      <c r="D54" s="2" t="s">
        <v>540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L54" s="77" t="s">
        <v>87</v>
      </c>
      <c r="M54" s="77" t="s">
        <v>87</v>
      </c>
    </row>
    <row r="55" spans="1:13" x14ac:dyDescent="0.25">
      <c r="A55" s="11" t="s">
        <v>16</v>
      </c>
      <c r="B55" s="3" t="s">
        <v>471</v>
      </c>
      <c r="C55" s="2" t="s">
        <v>487</v>
      </c>
      <c r="D55" s="2" t="s">
        <v>540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L55" s="77" t="s">
        <v>87</v>
      </c>
      <c r="M55" s="77" t="s">
        <v>87</v>
      </c>
    </row>
    <row r="56" spans="1:13" x14ac:dyDescent="0.25">
      <c r="A56" s="11" t="s">
        <v>17</v>
      </c>
      <c r="B56" s="3" t="s">
        <v>471</v>
      </c>
      <c r="C56" s="2" t="s">
        <v>487</v>
      </c>
      <c r="D56" s="2" t="s">
        <v>540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L56" s="77">
        <v>0</v>
      </c>
      <c r="M56" s="77">
        <v>0</v>
      </c>
    </row>
    <row r="57" spans="1:13" x14ac:dyDescent="0.25">
      <c r="A57" s="11" t="s">
        <v>18</v>
      </c>
      <c r="B57" s="3" t="s">
        <v>471</v>
      </c>
      <c r="C57" s="2" t="s">
        <v>487</v>
      </c>
      <c r="D57" s="2" t="s">
        <v>540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L57" s="77">
        <v>0.5</v>
      </c>
      <c r="M57" s="77">
        <v>0.5</v>
      </c>
    </row>
    <row r="58" spans="1:13" x14ac:dyDescent="0.25">
      <c r="A58" s="11" t="s">
        <v>19</v>
      </c>
      <c r="B58" s="3" t="s">
        <v>471</v>
      </c>
      <c r="C58" s="2" t="s">
        <v>487</v>
      </c>
      <c r="D58" s="2" t="s">
        <v>540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L58" s="77">
        <v>0.05</v>
      </c>
      <c r="M58" s="77">
        <v>0.05</v>
      </c>
    </row>
    <row r="59" spans="1:13" x14ac:dyDescent="0.25">
      <c r="A59" s="15" t="s">
        <v>36</v>
      </c>
      <c r="B59" s="3" t="s">
        <v>471</v>
      </c>
      <c r="C59" s="2" t="s">
        <v>487</v>
      </c>
      <c r="D59" s="2" t="s">
        <v>540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L59" s="80">
        <v>1E-3</v>
      </c>
      <c r="M59" s="80">
        <v>1E-3</v>
      </c>
    </row>
    <row r="60" spans="1:13" x14ac:dyDescent="0.25">
      <c r="A60" s="15" t="s">
        <v>380</v>
      </c>
      <c r="B60" s="3" t="s">
        <v>471</v>
      </c>
      <c r="C60" s="2" t="s">
        <v>487</v>
      </c>
      <c r="D60" s="2" t="s">
        <v>540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L60" s="77">
        <v>0</v>
      </c>
      <c r="M60" s="77">
        <v>0</v>
      </c>
    </row>
    <row r="61" spans="1:13" x14ac:dyDescent="0.25">
      <c r="A61" s="15" t="s">
        <v>37</v>
      </c>
      <c r="B61" s="3" t="s">
        <v>471</v>
      </c>
      <c r="C61" s="2" t="s">
        <v>487</v>
      </c>
      <c r="D61" s="2" t="s">
        <v>540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L61" s="77">
        <v>1E-4</v>
      </c>
      <c r="M61" s="77">
        <v>1E-4</v>
      </c>
    </row>
    <row r="62" spans="1:13" x14ac:dyDescent="0.25">
      <c r="A62" s="15" t="s">
        <v>38</v>
      </c>
      <c r="B62" s="3" t="s">
        <v>471</v>
      </c>
      <c r="C62" s="2" t="s">
        <v>487</v>
      </c>
      <c r="D62" s="2" t="s">
        <v>540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L62" s="77">
        <v>1E-4</v>
      </c>
      <c r="M62" s="77">
        <v>1E-4</v>
      </c>
    </row>
    <row r="63" spans="1:13" x14ac:dyDescent="0.25">
      <c r="A63" s="17" t="s">
        <v>39</v>
      </c>
      <c r="B63" s="3" t="s">
        <v>471</v>
      </c>
      <c r="C63" s="2" t="s">
        <v>487</v>
      </c>
      <c r="D63" s="2" t="s">
        <v>540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L63" s="77">
        <v>6.9999999999999999E-4</v>
      </c>
      <c r="M63" s="77">
        <v>6.9999999999999999E-4</v>
      </c>
    </row>
    <row r="64" spans="1:13" x14ac:dyDescent="0.25">
      <c r="A64" s="17" t="s">
        <v>40</v>
      </c>
      <c r="B64" s="3" t="s">
        <v>471</v>
      </c>
      <c r="C64" s="2" t="s">
        <v>487</v>
      </c>
      <c r="D64" s="2" t="s">
        <v>540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L64" s="77">
        <v>1.22E-4</v>
      </c>
      <c r="M64" s="77">
        <v>1.22E-4</v>
      </c>
    </row>
    <row r="65" spans="1:13" x14ac:dyDescent="0.25">
      <c r="A65" s="17" t="s">
        <v>207</v>
      </c>
      <c r="B65" s="3" t="s">
        <v>471</v>
      </c>
      <c r="C65" s="2" t="s">
        <v>487</v>
      </c>
      <c r="D65" s="2" t="s">
        <v>540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L65" s="77">
        <v>1</v>
      </c>
      <c r="M65" s="77">
        <v>1</v>
      </c>
    </row>
    <row r="66" spans="1:13" x14ac:dyDescent="0.25">
      <c r="A66" s="17" t="s">
        <v>41</v>
      </c>
      <c r="B66" s="3" t="s">
        <v>471</v>
      </c>
      <c r="C66" s="2" t="s">
        <v>487</v>
      </c>
      <c r="D66" s="2" t="s">
        <v>540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L66" s="77">
        <v>0.95</v>
      </c>
      <c r="M66" s="77">
        <v>0.95</v>
      </c>
    </row>
    <row r="67" spans="1:13" x14ac:dyDescent="0.25">
      <c r="A67" s="17" t="s">
        <v>406</v>
      </c>
      <c r="B67" s="3" t="s">
        <v>471</v>
      </c>
      <c r="C67" s="2" t="s">
        <v>487</v>
      </c>
      <c r="D67" s="2" t="s">
        <v>540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L67" s="77" t="s">
        <v>88</v>
      </c>
      <c r="M67" s="77" t="s">
        <v>88</v>
      </c>
    </row>
    <row r="68" spans="1:13" x14ac:dyDescent="0.25">
      <c r="A68" s="17" t="s">
        <v>91</v>
      </c>
      <c r="B68" s="3" t="s">
        <v>471</v>
      </c>
      <c r="C68" s="2" t="s">
        <v>487</v>
      </c>
      <c r="D68" s="2" t="s">
        <v>540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L68" s="77">
        <v>5</v>
      </c>
      <c r="M68" s="77">
        <v>5</v>
      </c>
    </row>
    <row r="69" spans="1:13" x14ac:dyDescent="0.25">
      <c r="A69" s="17" t="s">
        <v>408</v>
      </c>
      <c r="B69" s="3" t="s">
        <v>471</v>
      </c>
      <c r="C69" s="2" t="s">
        <v>487</v>
      </c>
      <c r="D69" s="2" t="s">
        <v>540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L69" s="77" t="s">
        <v>88</v>
      </c>
      <c r="M69" s="77" t="s">
        <v>88</v>
      </c>
    </row>
    <row r="70" spans="1:13" x14ac:dyDescent="0.25">
      <c r="A70" s="17" t="s">
        <v>42</v>
      </c>
      <c r="B70" s="3" t="s">
        <v>471</v>
      </c>
      <c r="C70" s="2" t="s">
        <v>487</v>
      </c>
      <c r="D70" s="2" t="s">
        <v>540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L70" s="77">
        <v>50</v>
      </c>
      <c r="M70" s="77">
        <v>50</v>
      </c>
    </row>
    <row r="71" spans="1:13" x14ac:dyDescent="0.25">
      <c r="A71" s="17" t="s">
        <v>208</v>
      </c>
      <c r="B71" s="3" t="s">
        <v>471</v>
      </c>
      <c r="C71" s="2" t="s">
        <v>487</v>
      </c>
      <c r="D71" s="2" t="s">
        <v>540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L71" s="78">
        <v>1453890.8941884842</v>
      </c>
      <c r="M71" s="78">
        <v>1453890.8941884842</v>
      </c>
    </row>
    <row r="72" spans="1:13" x14ac:dyDescent="0.25">
      <c r="A72" s="17" t="s">
        <v>43</v>
      </c>
      <c r="B72" s="3" t="s">
        <v>471</v>
      </c>
      <c r="C72" s="2" t="s">
        <v>487</v>
      </c>
      <c r="D72" s="2" t="s">
        <v>540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L72" s="78">
        <v>1.3888888888888888E-5</v>
      </c>
      <c r="M72" s="78">
        <v>1.3888888888888888E-5</v>
      </c>
    </row>
    <row r="73" spans="1:13" x14ac:dyDescent="0.25">
      <c r="A73" s="17" t="s">
        <v>44</v>
      </c>
      <c r="B73" s="3" t="s">
        <v>471</v>
      </c>
      <c r="C73" s="2" t="s">
        <v>487</v>
      </c>
      <c r="D73" s="2" t="s">
        <v>540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L73" s="79">
        <v>6.5011574074074071E-4</v>
      </c>
      <c r="M73" s="79">
        <v>6.5011574074074071E-4</v>
      </c>
    </row>
    <row r="74" spans="1:13" x14ac:dyDescent="0.25">
      <c r="A74" s="17" t="s">
        <v>45</v>
      </c>
      <c r="B74" s="3" t="s">
        <v>471</v>
      </c>
      <c r="C74" s="2" t="s">
        <v>487</v>
      </c>
      <c r="D74" s="2" t="s">
        <v>540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L74" s="85">
        <v>4.7400000000000003E-3</v>
      </c>
      <c r="M74" s="85">
        <v>4.7400000000000003E-3</v>
      </c>
    </row>
    <row r="75" spans="1:13" x14ac:dyDescent="0.25">
      <c r="A75" s="17" t="s">
        <v>46</v>
      </c>
      <c r="B75" s="3" t="s">
        <v>471</v>
      </c>
      <c r="C75" s="2" t="s">
        <v>487</v>
      </c>
      <c r="D75" s="2" t="s">
        <v>540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L75" s="79">
        <v>282528</v>
      </c>
      <c r="M75" s="79">
        <v>282528</v>
      </c>
    </row>
    <row r="76" spans="1:13" x14ac:dyDescent="0.25">
      <c r="A76" s="17" t="s">
        <v>47</v>
      </c>
      <c r="B76" s="3" t="s">
        <v>471</v>
      </c>
      <c r="C76" s="2" t="s">
        <v>487</v>
      </c>
      <c r="D76" s="2" t="s">
        <v>540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L76" s="85">
        <v>0.56999999999999995</v>
      </c>
      <c r="M76" s="85">
        <v>0.56999999999999995</v>
      </c>
    </row>
    <row r="77" spans="1:13" x14ac:dyDescent="0.25">
      <c r="A77" s="17" t="s">
        <v>48</v>
      </c>
      <c r="B77" s="3" t="s">
        <v>471</v>
      </c>
      <c r="C77" s="2" t="s">
        <v>487</v>
      </c>
      <c r="D77" s="2" t="s">
        <v>540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L77" s="87">
        <v>0.16</v>
      </c>
      <c r="M77" s="87">
        <v>0.16</v>
      </c>
    </row>
    <row r="78" spans="1:13" x14ac:dyDescent="0.25">
      <c r="A78" s="17" t="s">
        <v>49</v>
      </c>
      <c r="B78" s="3" t="s">
        <v>471</v>
      </c>
      <c r="C78" s="2" t="s">
        <v>487</v>
      </c>
      <c r="D78" s="2" t="s">
        <v>540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L78" s="77">
        <v>0</v>
      </c>
      <c r="M78" s="77">
        <v>0</v>
      </c>
    </row>
    <row r="79" spans="1:13" x14ac:dyDescent="0.25">
      <c r="A79" s="33" t="s">
        <v>50</v>
      </c>
      <c r="B79" s="3" t="s">
        <v>471</v>
      </c>
      <c r="C79" s="2" t="s">
        <v>487</v>
      </c>
      <c r="D79" s="2" t="s">
        <v>540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L79" s="78">
        <v>745476480000</v>
      </c>
      <c r="M79" s="78">
        <v>745476480000</v>
      </c>
    </row>
    <row r="80" spans="1:13" x14ac:dyDescent="0.25">
      <c r="A80" s="33" t="s">
        <v>205</v>
      </c>
      <c r="B80" s="3" t="s">
        <v>471</v>
      </c>
      <c r="C80" s="2" t="s">
        <v>487</v>
      </c>
      <c r="D80" s="2" t="s">
        <v>540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L80" s="77">
        <v>100</v>
      </c>
      <c r="M80" s="77">
        <v>100</v>
      </c>
    </row>
    <row r="81" spans="1:13" x14ac:dyDescent="0.25">
      <c r="A81" s="33" t="s">
        <v>414</v>
      </c>
      <c r="B81" s="3" t="s">
        <v>471</v>
      </c>
      <c r="C81" s="2" t="s">
        <v>487</v>
      </c>
      <c r="D81" s="2" t="s">
        <v>540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L81" s="77" t="s">
        <v>88</v>
      </c>
      <c r="M81" s="77" t="s">
        <v>88</v>
      </c>
    </row>
    <row r="82" spans="1:13" x14ac:dyDescent="0.25">
      <c r="A82" s="33" t="s">
        <v>400</v>
      </c>
      <c r="B82" s="3" t="s">
        <v>471</v>
      </c>
      <c r="C82" s="2" t="s">
        <v>487</v>
      </c>
      <c r="D82" s="2" t="s">
        <v>540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L82" s="85">
        <v>21600</v>
      </c>
      <c r="M82" s="85">
        <v>21600</v>
      </c>
    </row>
    <row r="83" spans="1:13" x14ac:dyDescent="0.25">
      <c r="A83" s="33" t="s">
        <v>410</v>
      </c>
      <c r="B83" s="3" t="s">
        <v>471</v>
      </c>
      <c r="C83" s="2" t="s">
        <v>487</v>
      </c>
      <c r="D83" s="2" t="s">
        <v>540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L83" s="77">
        <v>0.5</v>
      </c>
      <c r="M83" s="77">
        <v>0.5</v>
      </c>
    </row>
    <row r="84" spans="1:13" x14ac:dyDescent="0.25">
      <c r="A84" s="33" t="s">
        <v>401</v>
      </c>
      <c r="B84" s="3" t="s">
        <v>471</v>
      </c>
      <c r="C84" s="2" t="s">
        <v>487</v>
      </c>
      <c r="D84" s="2" t="s">
        <v>540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L84" s="85">
        <v>60479.999999999993</v>
      </c>
      <c r="M84" s="85">
        <v>60479.999999999993</v>
      </c>
    </row>
    <row r="85" spans="1:13" x14ac:dyDescent="0.25">
      <c r="A85" s="33" t="s">
        <v>411</v>
      </c>
      <c r="B85" s="3" t="s">
        <v>471</v>
      </c>
      <c r="C85" s="2" t="s">
        <v>487</v>
      </c>
      <c r="D85" s="2" t="s">
        <v>540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L85" s="77">
        <v>0.85</v>
      </c>
      <c r="M85" s="77">
        <v>0.85</v>
      </c>
    </row>
    <row r="86" spans="1:13" x14ac:dyDescent="0.25">
      <c r="A86" s="33" t="s">
        <v>402</v>
      </c>
      <c r="B86" s="3" t="s">
        <v>471</v>
      </c>
      <c r="C86" s="2" t="s">
        <v>487</v>
      </c>
      <c r="D86" s="2" t="s">
        <v>540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L86" s="77">
        <v>518400</v>
      </c>
      <c r="M86" s="77">
        <v>518400</v>
      </c>
    </row>
    <row r="87" spans="1:13" x14ac:dyDescent="0.25">
      <c r="A87" s="33" t="s">
        <v>412</v>
      </c>
      <c r="B87" s="3" t="s">
        <v>471</v>
      </c>
      <c r="C87" s="2" t="s">
        <v>487</v>
      </c>
      <c r="D87" s="2" t="s">
        <v>540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L87" s="77">
        <v>5184000</v>
      </c>
      <c r="M87" s="77">
        <v>5184000</v>
      </c>
    </row>
    <row r="88" spans="1:13" x14ac:dyDescent="0.25">
      <c r="A88" s="17" t="s">
        <v>51</v>
      </c>
      <c r="B88" s="3" t="s">
        <v>471</v>
      </c>
      <c r="C88" s="2" t="s">
        <v>487</v>
      </c>
      <c r="D88" s="2" t="s">
        <v>540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L88" s="86">
        <v>50000</v>
      </c>
      <c r="M88" s="86">
        <v>50000</v>
      </c>
    </row>
    <row r="89" spans="1:13" x14ac:dyDescent="0.25">
      <c r="A89" s="17" t="s">
        <v>52</v>
      </c>
      <c r="B89" s="3" t="s">
        <v>471</v>
      </c>
      <c r="C89" s="2" t="s">
        <v>487</v>
      </c>
      <c r="D89" s="2" t="s">
        <v>540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L89" s="77">
        <v>140000</v>
      </c>
      <c r="M89" s="77">
        <v>140000</v>
      </c>
    </row>
    <row r="90" spans="1:13" x14ac:dyDescent="0.25">
      <c r="A90" s="17" t="s">
        <v>53</v>
      </c>
      <c r="B90" s="3" t="s">
        <v>471</v>
      </c>
      <c r="C90" s="2" t="s">
        <v>487</v>
      </c>
      <c r="D90" s="2" t="s">
        <v>540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L90" s="78">
        <v>3.6636136999999999E-2</v>
      </c>
      <c r="M90" s="78">
        <v>3.6636136999999999E-2</v>
      </c>
    </row>
    <row r="91" spans="1:13" x14ac:dyDescent="0.25">
      <c r="A91" s="17" t="s">
        <v>54</v>
      </c>
      <c r="B91" s="3" t="s">
        <v>471</v>
      </c>
      <c r="C91" s="2" t="s">
        <v>487</v>
      </c>
      <c r="D91" s="2" t="s">
        <v>540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L91" s="77">
        <v>4.4999999999999997E-3</v>
      </c>
      <c r="M91" s="77">
        <v>4.4999999999999997E-3</v>
      </c>
    </row>
    <row r="92" spans="1:13" x14ac:dyDescent="0.25">
      <c r="A92" s="17" t="s">
        <v>55</v>
      </c>
      <c r="B92" s="3" t="s">
        <v>471</v>
      </c>
      <c r="C92" s="2" t="s">
        <v>487</v>
      </c>
      <c r="D92" s="2" t="s">
        <v>540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L92" s="77">
        <v>0.05</v>
      </c>
      <c r="M92" s="77">
        <v>0.05</v>
      </c>
    </row>
    <row r="93" spans="1:13" x14ac:dyDescent="0.25">
      <c r="A93" s="19" t="s">
        <v>214</v>
      </c>
      <c r="B93" s="3" t="s">
        <v>471</v>
      </c>
      <c r="C93" s="2" t="s">
        <v>487</v>
      </c>
      <c r="D93" s="2" t="s">
        <v>540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L93" s="77">
        <v>6.0000000000000002E-6</v>
      </c>
      <c r="M93" s="77">
        <v>6.0000000000000002E-6</v>
      </c>
    </row>
    <row r="94" spans="1:13" x14ac:dyDescent="0.25">
      <c r="A94" s="19" t="s">
        <v>215</v>
      </c>
      <c r="B94" s="3" t="s">
        <v>471</v>
      </c>
      <c r="C94" s="2" t="s">
        <v>487</v>
      </c>
      <c r="D94" s="2" t="s">
        <v>540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L94" s="77">
        <v>0</v>
      </c>
      <c r="M94" s="77">
        <v>0</v>
      </c>
    </row>
    <row r="95" spans="1:13" x14ac:dyDescent="0.25">
      <c r="A95" s="19" t="s">
        <v>216</v>
      </c>
      <c r="B95" s="3" t="s">
        <v>471</v>
      </c>
      <c r="C95" s="2" t="s">
        <v>487</v>
      </c>
      <c r="D95" s="2" t="s">
        <v>540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L95" s="77">
        <v>374999999.99999994</v>
      </c>
      <c r="M95" s="77">
        <v>374999999.99999994</v>
      </c>
    </row>
    <row r="96" spans="1:13" x14ac:dyDescent="0.25">
      <c r="A96" s="19" t="s">
        <v>217</v>
      </c>
      <c r="B96" s="3" t="s">
        <v>471</v>
      </c>
      <c r="C96" s="2" t="s">
        <v>487</v>
      </c>
      <c r="D96" s="2" t="s">
        <v>540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L96" s="78">
        <v>3.7037037037037038E-3</v>
      </c>
      <c r="M96" s="78">
        <v>3.7037037037037038E-3</v>
      </c>
    </row>
    <row r="97" spans="1:13" x14ac:dyDescent="0.25">
      <c r="A97" s="19" t="s">
        <v>218</v>
      </c>
      <c r="B97" s="3" t="s">
        <v>471</v>
      </c>
      <c r="C97" s="2" t="s">
        <v>487</v>
      </c>
      <c r="D97" s="2" t="s">
        <v>540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L97" s="77">
        <v>165600</v>
      </c>
      <c r="M97" s="77">
        <v>165600</v>
      </c>
    </row>
    <row r="98" spans="1:13" x14ac:dyDescent="0.25">
      <c r="A98" s="13" t="s">
        <v>60</v>
      </c>
      <c r="B98" s="3" t="s">
        <v>471</v>
      </c>
      <c r="C98" s="2" t="s">
        <v>487</v>
      </c>
      <c r="D98" s="2" t="s">
        <v>540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L98" s="77">
        <v>20</v>
      </c>
      <c r="M98" s="77">
        <v>20</v>
      </c>
    </row>
    <row r="99" spans="1:13" x14ac:dyDescent="0.25">
      <c r="A99" s="13" t="s">
        <v>209</v>
      </c>
      <c r="B99" s="3" t="s">
        <v>471</v>
      </c>
      <c r="C99" s="2" t="s">
        <v>487</v>
      </c>
      <c r="D99" s="2" t="s">
        <v>540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L99" s="77">
        <v>1</v>
      </c>
      <c r="M99" s="77">
        <v>1</v>
      </c>
    </row>
    <row r="100" spans="1:13" x14ac:dyDescent="0.25">
      <c r="A100" s="13" t="s">
        <v>59</v>
      </c>
      <c r="B100" s="3" t="s">
        <v>471</v>
      </c>
      <c r="C100" s="2" t="s">
        <v>487</v>
      </c>
      <c r="D100" s="2" t="s">
        <v>540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L100" s="77">
        <v>21</v>
      </c>
      <c r="M100" s="77">
        <v>21</v>
      </c>
    </row>
    <row r="101" spans="1:13" x14ac:dyDescent="0.25">
      <c r="A101" s="23" t="s">
        <v>65</v>
      </c>
      <c r="B101" s="3" t="s">
        <v>471</v>
      </c>
      <c r="C101" s="2" t="s">
        <v>487</v>
      </c>
      <c r="D101" s="2" t="s">
        <v>540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L101" s="77">
        <v>0.64</v>
      </c>
      <c r="M101" s="77">
        <v>0.64</v>
      </c>
    </row>
    <row r="102" spans="1:13" x14ac:dyDescent="0.25">
      <c r="A102" s="23" t="s">
        <v>367</v>
      </c>
      <c r="B102" s="3" t="s">
        <v>471</v>
      </c>
      <c r="C102" s="2" t="s">
        <v>487</v>
      </c>
      <c r="D102" s="2" t="s">
        <v>540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L102" s="77">
        <v>8</v>
      </c>
      <c r="M102" s="77">
        <v>8</v>
      </c>
    </row>
    <row r="103" spans="1:13" x14ac:dyDescent="0.25">
      <c r="A103" s="23" t="s">
        <v>368</v>
      </c>
      <c r="B103" s="3" t="s">
        <v>471</v>
      </c>
      <c r="C103" s="2" t="s">
        <v>487</v>
      </c>
      <c r="D103" s="2" t="s">
        <v>540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L103" s="77">
        <v>10</v>
      </c>
      <c r="M103" s="77">
        <v>10</v>
      </c>
    </row>
    <row r="104" spans="1:13" x14ac:dyDescent="0.25">
      <c r="A104" s="23" t="s">
        <v>369</v>
      </c>
      <c r="B104" s="3" t="s">
        <v>471</v>
      </c>
      <c r="C104" s="2" t="s">
        <v>487</v>
      </c>
      <c r="D104" s="2" t="s">
        <v>540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L104" s="77">
        <v>8</v>
      </c>
      <c r="M104" s="77">
        <v>8</v>
      </c>
    </row>
    <row r="105" spans="1:13" x14ac:dyDescent="0.25">
      <c r="A105" s="23" t="s">
        <v>501</v>
      </c>
      <c r="B105" s="3" t="s">
        <v>471</v>
      </c>
      <c r="C105" s="2" t="s">
        <v>487</v>
      </c>
      <c r="D105" s="2" t="s">
        <v>540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L105" s="77">
        <v>1</v>
      </c>
      <c r="M105" s="77">
        <v>1</v>
      </c>
    </row>
    <row r="106" spans="1:13" x14ac:dyDescent="0.25">
      <c r="A106" s="23" t="s">
        <v>385</v>
      </c>
      <c r="B106" s="3" t="s">
        <v>471</v>
      </c>
      <c r="C106" s="2" t="s">
        <v>487</v>
      </c>
      <c r="D106" s="2" t="s">
        <v>540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L106" s="77">
        <v>0.5</v>
      </c>
      <c r="M106" s="77">
        <v>0.5</v>
      </c>
    </row>
    <row r="107" spans="1:13" x14ac:dyDescent="0.25">
      <c r="A107" s="23" t="s">
        <v>502</v>
      </c>
      <c r="B107" s="3" t="s">
        <v>471</v>
      </c>
      <c r="C107" s="2" t="s">
        <v>487</v>
      </c>
      <c r="D107" s="2" t="s">
        <v>540</v>
      </c>
      <c r="E107" s="24" t="s">
        <v>506</v>
      </c>
      <c r="F107" s="24" t="s">
        <v>507</v>
      </c>
      <c r="G107" s="58">
        <f>G105</f>
        <v>1</v>
      </c>
      <c r="H107" s="58">
        <f>H105</f>
        <v>1</v>
      </c>
      <c r="I107" s="58">
        <f>I105</f>
        <v>1</v>
      </c>
      <c r="J107" s="58">
        <f>J105</f>
        <v>1</v>
      </c>
      <c r="L107" s="58">
        <v>1</v>
      </c>
      <c r="M107" s="58">
        <v>1</v>
      </c>
    </row>
    <row r="108" spans="1:13" x14ac:dyDescent="0.25">
      <c r="A108" s="23" t="s">
        <v>503</v>
      </c>
      <c r="B108" s="3" t="s">
        <v>471</v>
      </c>
      <c r="C108" s="2" t="s">
        <v>487</v>
      </c>
      <c r="D108" s="2" t="s">
        <v>540</v>
      </c>
      <c r="E108" s="24" t="s">
        <v>506</v>
      </c>
      <c r="F108" s="24" t="s">
        <v>507</v>
      </c>
      <c r="G108" s="58">
        <f>3*G105</f>
        <v>3</v>
      </c>
      <c r="H108" s="58">
        <f>150*H105</f>
        <v>150</v>
      </c>
      <c r="I108" s="58">
        <f>150*I105</f>
        <v>150</v>
      </c>
      <c r="J108" s="58">
        <f>150*J105</f>
        <v>150</v>
      </c>
      <c r="L108" s="58">
        <v>150</v>
      </c>
      <c r="M108" s="58">
        <v>150</v>
      </c>
    </row>
    <row r="109" spans="1:13" x14ac:dyDescent="0.25">
      <c r="A109" s="23" t="s">
        <v>504</v>
      </c>
      <c r="B109" s="3" t="s">
        <v>471</v>
      </c>
      <c r="C109" s="2" t="s">
        <v>487</v>
      </c>
      <c r="D109" s="2" t="s">
        <v>540</v>
      </c>
      <c r="E109" s="24" t="s">
        <v>506</v>
      </c>
      <c r="F109" s="24" t="s">
        <v>507</v>
      </c>
      <c r="G109" s="58">
        <f>G100</f>
        <v>21</v>
      </c>
      <c r="H109" s="58">
        <f>H100</f>
        <v>21</v>
      </c>
      <c r="I109" s="58">
        <f>I100</f>
        <v>21</v>
      </c>
      <c r="J109" s="58">
        <f>J100</f>
        <v>21</v>
      </c>
      <c r="L109" s="58">
        <v>21</v>
      </c>
      <c r="M109" s="58">
        <v>21</v>
      </c>
    </row>
    <row r="110" spans="1:13" x14ac:dyDescent="0.25">
      <c r="A110" s="23" t="s">
        <v>505</v>
      </c>
      <c r="B110" s="3" t="s">
        <v>471</v>
      </c>
      <c r="C110" s="2" t="s">
        <v>487</v>
      </c>
      <c r="D110" s="2" t="s">
        <v>540</v>
      </c>
      <c r="E110" s="24" t="s">
        <v>506</v>
      </c>
      <c r="F110" s="24" t="s">
        <v>507</v>
      </c>
      <c r="G110" s="58">
        <f>10*G100</f>
        <v>210</v>
      </c>
      <c r="H110" s="58">
        <f>70*H100</f>
        <v>1470</v>
      </c>
      <c r="I110" s="58">
        <f>70*I100</f>
        <v>1470</v>
      </c>
      <c r="J110" s="58">
        <f>70*J100</f>
        <v>1470</v>
      </c>
      <c r="L110" s="58">
        <v>1470</v>
      </c>
      <c r="M110" s="58">
        <v>1470</v>
      </c>
    </row>
    <row r="111" spans="1:13" x14ac:dyDescent="0.25">
      <c r="A111" s="23" t="s">
        <v>387</v>
      </c>
      <c r="B111" s="3" t="s">
        <v>471</v>
      </c>
      <c r="C111" s="2" t="s">
        <v>487</v>
      </c>
      <c r="D111" s="2" t="s">
        <v>540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L111" s="77">
        <v>0</v>
      </c>
      <c r="M111" s="77">
        <v>0</v>
      </c>
    </row>
    <row r="112" spans="1:13" x14ac:dyDescent="0.25">
      <c r="A112" s="23" t="s">
        <v>389</v>
      </c>
      <c r="B112" s="3" t="s">
        <v>471</v>
      </c>
      <c r="C112" s="2" t="s">
        <v>487</v>
      </c>
      <c r="D112" s="2" t="s">
        <v>540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L112" s="82">
        <v>1589759.9999999998</v>
      </c>
      <c r="M112" s="82">
        <v>1589759.9999999998</v>
      </c>
    </row>
    <row r="113" spans="1:13" x14ac:dyDescent="0.25">
      <c r="A113" s="23" t="s">
        <v>391</v>
      </c>
      <c r="B113" s="3" t="s">
        <v>471</v>
      </c>
      <c r="C113" s="2" t="s">
        <v>487</v>
      </c>
      <c r="D113" s="2" t="s">
        <v>540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L113" s="82">
        <v>6171428.5714285718</v>
      </c>
      <c r="M113" s="82">
        <v>6171428.5714285718</v>
      </c>
    </row>
    <row r="114" spans="1:13" x14ac:dyDescent="0.25">
      <c r="A114" s="23" t="s">
        <v>393</v>
      </c>
      <c r="B114" s="3" t="s">
        <v>471</v>
      </c>
      <c r="C114" s="2" t="s">
        <v>487</v>
      </c>
      <c r="D114" s="2" t="s">
        <v>540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L114" s="82">
        <v>6171428.5714285718</v>
      </c>
      <c r="M114" s="82">
        <v>6171428.5714285718</v>
      </c>
    </row>
    <row r="115" spans="1:13" x14ac:dyDescent="0.25">
      <c r="A115" s="23" t="s">
        <v>421</v>
      </c>
      <c r="B115" s="3" t="s">
        <v>471</v>
      </c>
      <c r="C115" s="2" t="s">
        <v>487</v>
      </c>
      <c r="D115" s="2" t="s">
        <v>540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L115" s="82">
        <v>100</v>
      </c>
      <c r="M115" s="82">
        <v>100</v>
      </c>
    </row>
    <row r="116" spans="1:13" ht="14.45" customHeight="1" x14ac:dyDescent="0.25">
      <c r="A116" s="23" t="s">
        <v>423</v>
      </c>
      <c r="B116" s="3" t="s">
        <v>471</v>
      </c>
      <c r="C116" s="2" t="s">
        <v>487</v>
      </c>
      <c r="D116" s="2" t="s">
        <v>540</v>
      </c>
      <c r="E116" s="24" t="s">
        <v>424</v>
      </c>
      <c r="F116" s="24" t="s">
        <v>431</v>
      </c>
      <c r="G116" s="67">
        <f>3.25 * (60*60*24)</f>
        <v>280800</v>
      </c>
      <c r="H116" s="67">
        <f>0.1 * 3.25 * (60*60*24)</f>
        <v>28080</v>
      </c>
      <c r="I116" s="67">
        <f>0.1 * 3.25 * (60*60*24)</f>
        <v>28080</v>
      </c>
      <c r="J116" s="67">
        <f>0.1 * 3.25 * (60*60*24)</f>
        <v>28080</v>
      </c>
      <c r="L116" s="67">
        <v>28080</v>
      </c>
      <c r="M116" s="67">
        <v>28080</v>
      </c>
    </row>
    <row r="117" spans="1:13" x14ac:dyDescent="0.25">
      <c r="A117" s="23" t="s">
        <v>425</v>
      </c>
      <c r="B117" s="3" t="s">
        <v>471</v>
      </c>
      <c r="C117" s="2" t="s">
        <v>487</v>
      </c>
      <c r="D117" s="2" t="s">
        <v>540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>1.11 / 10</f>
        <v>0.11100000000000002</v>
      </c>
      <c r="I117" s="67">
        <f>1.11 / 10</f>
        <v>0.11100000000000002</v>
      </c>
      <c r="J117" s="67">
        <f>1.11 / 10</f>
        <v>0.11100000000000002</v>
      </c>
      <c r="L117" s="67">
        <v>0.11100000000000002</v>
      </c>
      <c r="M117" s="67">
        <v>0.11100000000000002</v>
      </c>
    </row>
    <row r="118" spans="1:13" x14ac:dyDescent="0.25">
      <c r="A118" s="23" t="s">
        <v>498</v>
      </c>
      <c r="B118" s="3" t="s">
        <v>471</v>
      </c>
      <c r="C118" s="2" t="s">
        <v>487</v>
      </c>
      <c r="D118" s="2" t="s">
        <v>540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L118" s="82">
        <v>100</v>
      </c>
      <c r="M118" s="82">
        <v>100</v>
      </c>
    </row>
    <row r="119" spans="1:13" ht="14.45" customHeight="1" x14ac:dyDescent="0.25">
      <c r="A119" s="23" t="s">
        <v>499</v>
      </c>
      <c r="B119" s="3" t="s">
        <v>471</v>
      </c>
      <c r="C119" s="2" t="s">
        <v>487</v>
      </c>
      <c r="D119" s="2" t="s">
        <v>540</v>
      </c>
      <c r="E119" s="24" t="s">
        <v>428</v>
      </c>
      <c r="F119" s="24" t="s">
        <v>431</v>
      </c>
      <c r="G119" s="67">
        <f>5.32 * (60*60*24)</f>
        <v>459648</v>
      </c>
      <c r="H119" s="67">
        <f>5.32 * (60*60*24)</f>
        <v>459648</v>
      </c>
      <c r="I119" s="67">
        <f>5.32 * (60*60*24)</f>
        <v>459648</v>
      </c>
      <c r="J119" s="67">
        <f>5.32 * (60*60*24)</f>
        <v>459648</v>
      </c>
      <c r="L119" s="67">
        <v>459648</v>
      </c>
      <c r="M119" s="67">
        <v>459648</v>
      </c>
    </row>
    <row r="120" spans="1:13" x14ac:dyDescent="0.25">
      <c r="A120" s="23" t="s">
        <v>500</v>
      </c>
      <c r="B120" s="3" t="s">
        <v>471</v>
      </c>
      <c r="C120" s="2" t="s">
        <v>487</v>
      </c>
      <c r="D120" s="2" t="s">
        <v>540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>1.11/8</f>
        <v>0.13875000000000001</v>
      </c>
      <c r="I120" s="67">
        <f>1.11/8</f>
        <v>0.13875000000000001</v>
      </c>
      <c r="J120" s="67">
        <f>1.11/8</f>
        <v>0.13875000000000001</v>
      </c>
      <c r="L120" s="67">
        <v>0.13875000000000001</v>
      </c>
      <c r="M120" s="67">
        <v>0.13875000000000001</v>
      </c>
    </row>
    <row r="121" spans="1:13" x14ac:dyDescent="0.25">
      <c r="A121" s="23" t="s">
        <v>395</v>
      </c>
      <c r="B121" s="3" t="s">
        <v>471</v>
      </c>
      <c r="C121" s="2" t="s">
        <v>487</v>
      </c>
      <c r="D121" s="2" t="s">
        <v>540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L121" s="82">
        <v>21600</v>
      </c>
      <c r="M121" s="82">
        <v>21600</v>
      </c>
    </row>
    <row r="122" spans="1:13" x14ac:dyDescent="0.25">
      <c r="A122" s="23" t="s">
        <v>397</v>
      </c>
      <c r="B122" s="3" t="s">
        <v>471</v>
      </c>
      <c r="C122" s="2" t="s">
        <v>487</v>
      </c>
      <c r="D122" s="2" t="s">
        <v>540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L122" s="88">
        <v>43200</v>
      </c>
      <c r="M122" s="88">
        <v>43200</v>
      </c>
    </row>
    <row r="123" spans="1:13" x14ac:dyDescent="0.25">
      <c r="A123" s="13" t="s">
        <v>61</v>
      </c>
      <c r="B123" s="3" t="s">
        <v>471</v>
      </c>
      <c r="C123" s="2" t="s">
        <v>487</v>
      </c>
      <c r="D123" s="2" t="s">
        <v>540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L123" s="77">
        <v>0.8</v>
      </c>
      <c r="M123" s="77">
        <v>0.8</v>
      </c>
    </row>
    <row r="124" spans="1:13" x14ac:dyDescent="0.25">
      <c r="A124" s="13" t="s">
        <v>62</v>
      </c>
      <c r="B124" s="3" t="s">
        <v>471</v>
      </c>
      <c r="C124" s="2" t="s">
        <v>487</v>
      </c>
      <c r="D124" s="2" t="s">
        <v>540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L124" s="78">
        <v>2.0833333333333335E-4</v>
      </c>
      <c r="M124" s="78">
        <v>2.0833333333333335E-4</v>
      </c>
    </row>
    <row r="125" spans="1:13" x14ac:dyDescent="0.25">
      <c r="A125" s="13" t="s">
        <v>63</v>
      </c>
      <c r="B125" s="3" t="s">
        <v>471</v>
      </c>
      <c r="C125" s="2" t="s">
        <v>487</v>
      </c>
      <c r="D125" s="2" t="s">
        <v>540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L125" s="77">
        <v>5.7899999999999998E-7</v>
      </c>
      <c r="M125" s="77">
        <v>5.7899999999999998E-7</v>
      </c>
    </row>
    <row r="126" spans="1:13" x14ac:dyDescent="0.25">
      <c r="A126" s="13" t="s">
        <v>64</v>
      </c>
      <c r="B126" s="3" t="s">
        <v>471</v>
      </c>
      <c r="C126" s="2" t="s">
        <v>487</v>
      </c>
      <c r="D126" s="2" t="s">
        <v>540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L126" s="78">
        <v>2.0833333333333335E-4</v>
      </c>
      <c r="M126" s="78">
        <v>2.0833333333333335E-4</v>
      </c>
    </row>
    <row r="127" spans="1:13" x14ac:dyDescent="0.25">
      <c r="A127" s="13" t="s">
        <v>450</v>
      </c>
      <c r="B127" s="3" t="s">
        <v>471</v>
      </c>
      <c r="C127" s="2" t="s">
        <v>487</v>
      </c>
      <c r="D127" s="2" t="s">
        <v>540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L127" s="78">
        <v>0</v>
      </c>
      <c r="M127" s="78">
        <v>0</v>
      </c>
    </row>
    <row r="128" spans="1:13" x14ac:dyDescent="0.25">
      <c r="A128" s="13" t="s">
        <v>452</v>
      </c>
      <c r="B128" s="3" t="s">
        <v>471</v>
      </c>
      <c r="C128" s="2" t="s">
        <v>487</v>
      </c>
      <c r="D128" s="2" t="s">
        <v>540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L128" s="78">
        <v>0</v>
      </c>
      <c r="M128" s="78">
        <v>0</v>
      </c>
    </row>
    <row r="129" spans="1:13" x14ac:dyDescent="0.25">
      <c r="A129" s="68" t="s">
        <v>441</v>
      </c>
      <c r="B129" s="3" t="s">
        <v>471</v>
      </c>
      <c r="C129" s="2" t="s">
        <v>487</v>
      </c>
      <c r="D129" s="2" t="s">
        <v>540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M129" si="0">0.0000002*3</f>
        <v>5.9999999999999997E-7</v>
      </c>
      <c r="J129" s="83">
        <f t="shared" si="0"/>
        <v>5.9999999999999997E-7</v>
      </c>
      <c r="L129" s="83">
        <f t="shared" si="0"/>
        <v>5.9999999999999997E-7</v>
      </c>
      <c r="M129" s="83">
        <f t="shared" si="0"/>
        <v>5.9999999999999997E-7</v>
      </c>
    </row>
    <row r="130" spans="1:13" x14ac:dyDescent="0.25">
      <c r="A130" s="68" t="s">
        <v>67</v>
      </c>
      <c r="B130" s="3" t="s">
        <v>471</v>
      </c>
      <c r="C130" s="2" t="s">
        <v>487</v>
      </c>
      <c r="D130" s="2" t="s">
        <v>540</v>
      </c>
      <c r="E130" s="69" t="s">
        <v>442</v>
      </c>
      <c r="F130" s="69" t="s">
        <v>443</v>
      </c>
      <c r="G130" s="71"/>
      <c r="H130" s="83">
        <f t="shared" ref="H130:M130" si="1">1000 * 0.000001 / 12</f>
        <v>8.3333333333333331E-5</v>
      </c>
      <c r="I130" s="83">
        <f t="shared" si="1"/>
        <v>8.3333333333333331E-5</v>
      </c>
      <c r="J130" s="83">
        <f t="shared" si="1"/>
        <v>8.3333333333333331E-5</v>
      </c>
      <c r="L130" s="83">
        <f t="shared" si="1"/>
        <v>8.3333333333333331E-5</v>
      </c>
      <c r="M130" s="83">
        <f t="shared" si="1"/>
        <v>8.3333333333333331E-5</v>
      </c>
    </row>
    <row r="131" spans="1:13" x14ac:dyDescent="0.25">
      <c r="A131" s="68" t="s">
        <v>446</v>
      </c>
      <c r="B131" s="3" t="s">
        <v>471</v>
      </c>
      <c r="C131" s="2" t="s">
        <v>487</v>
      </c>
      <c r="D131" s="2" t="s">
        <v>540</v>
      </c>
      <c r="E131" s="69" t="s">
        <v>447</v>
      </c>
      <c r="F131" s="69" t="s">
        <v>95</v>
      </c>
      <c r="G131" s="71" t="s">
        <v>88</v>
      </c>
      <c r="H131" s="89" t="s">
        <v>541</v>
      </c>
      <c r="I131" s="89" t="s">
        <v>541</v>
      </c>
      <c r="J131" s="89" t="s">
        <v>541</v>
      </c>
      <c r="L131" s="89" t="s">
        <v>541</v>
      </c>
      <c r="M131" s="89" t="s">
        <v>541</v>
      </c>
    </row>
    <row r="132" spans="1:13" x14ac:dyDescent="0.25">
      <c r="A132" s="21" t="s">
        <v>66</v>
      </c>
      <c r="B132" s="3" t="s">
        <v>471</v>
      </c>
      <c r="C132" s="2" t="s">
        <v>487</v>
      </c>
      <c r="D132" s="2" t="s">
        <v>540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L132" s="83">
        <v>5.0000000000000001E-4</v>
      </c>
      <c r="M132" s="83">
        <v>5.0000000000000001E-4</v>
      </c>
    </row>
    <row r="133" spans="1:13" x14ac:dyDescent="0.25">
      <c r="A133" s="21" t="s">
        <v>438</v>
      </c>
      <c r="B133" s="3" t="s">
        <v>471</v>
      </c>
      <c r="C133" s="2" t="s">
        <v>487</v>
      </c>
      <c r="D133" s="2" t="s">
        <v>540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L133" s="83">
        <v>4.9999999999999999E-13</v>
      </c>
      <c r="M133" s="83">
        <v>4.9999999999999999E-13</v>
      </c>
    </row>
    <row r="134" spans="1:13" x14ac:dyDescent="0.25">
      <c r="A134" s="21" t="s">
        <v>229</v>
      </c>
      <c r="B134" s="3" t="s">
        <v>471</v>
      </c>
      <c r="C134" s="2" t="s">
        <v>487</v>
      </c>
      <c r="D134" s="2" t="s">
        <v>540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L134" s="77">
        <v>10</v>
      </c>
      <c r="M134" s="77">
        <v>10</v>
      </c>
    </row>
    <row r="135" spans="1:13" x14ac:dyDescent="0.25">
      <c r="A135" s="21" t="s">
        <v>230</v>
      </c>
      <c r="B135" s="3" t="s">
        <v>471</v>
      </c>
      <c r="C135" s="2" t="s">
        <v>487</v>
      </c>
      <c r="D135" s="2" t="s">
        <v>540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L135" s="77">
        <v>-0.04</v>
      </c>
      <c r="M135" s="77">
        <v>-0.04</v>
      </c>
    </row>
    <row r="136" spans="1:13" x14ac:dyDescent="0.25">
      <c r="A136" s="21" t="s">
        <v>231</v>
      </c>
      <c r="B136" s="3" t="s">
        <v>471</v>
      </c>
      <c r="C136" s="2" t="s">
        <v>487</v>
      </c>
      <c r="D136" s="2" t="s">
        <v>540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L136" s="77">
        <v>2.9</v>
      </c>
      <c r="M136" s="77">
        <v>2.9</v>
      </c>
    </row>
    <row r="137" spans="1:13" x14ac:dyDescent="0.25">
      <c r="A137" s="21" t="s">
        <v>232</v>
      </c>
      <c r="B137" s="3" t="s">
        <v>471</v>
      </c>
      <c r="C137" s="2" t="s">
        <v>487</v>
      </c>
      <c r="D137" s="2" t="s">
        <v>540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L137" s="77">
        <v>1</v>
      </c>
      <c r="M137" s="77">
        <v>1</v>
      </c>
    </row>
    <row r="138" spans="1:13" x14ac:dyDescent="0.25">
      <c r="A138" s="21" t="s">
        <v>68</v>
      </c>
      <c r="B138" s="3" t="s">
        <v>471</v>
      </c>
      <c r="C138" s="2" t="s">
        <v>487</v>
      </c>
      <c r="D138" s="2" t="s">
        <v>540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L138" s="80">
        <v>1.9999999999999999E-7</v>
      </c>
      <c r="M138" s="80">
        <v>1.9999999999999999E-7</v>
      </c>
    </row>
    <row r="139" spans="1:13" x14ac:dyDescent="0.25">
      <c r="A139" s="21" t="s">
        <v>233</v>
      </c>
      <c r="B139" s="3" t="s">
        <v>471</v>
      </c>
      <c r="C139" s="2" t="s">
        <v>487</v>
      </c>
      <c r="D139" s="2" t="s">
        <v>540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L139" s="77">
        <v>10</v>
      </c>
      <c r="M139" s="77">
        <v>10</v>
      </c>
    </row>
    <row r="140" spans="1:13" x14ac:dyDescent="0.25">
      <c r="A140" s="21" t="s">
        <v>234</v>
      </c>
      <c r="B140" s="3" t="s">
        <v>471</v>
      </c>
      <c r="C140" s="2" t="s">
        <v>487</v>
      </c>
      <c r="D140" s="2" t="s">
        <v>540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L140" s="77">
        <v>-0.04</v>
      </c>
      <c r="M140" s="77">
        <v>-0.04</v>
      </c>
    </row>
    <row r="141" spans="1:13" x14ac:dyDescent="0.25">
      <c r="A141" s="21" t="s">
        <v>235</v>
      </c>
      <c r="B141" s="3" t="s">
        <v>471</v>
      </c>
      <c r="C141" s="2" t="s">
        <v>487</v>
      </c>
      <c r="D141" s="2" t="s">
        <v>540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L141" s="77">
        <v>2.9</v>
      </c>
      <c r="M141" s="77">
        <v>2.9</v>
      </c>
    </row>
    <row r="142" spans="1:13" x14ac:dyDescent="0.25">
      <c r="A142" s="21" t="s">
        <v>236</v>
      </c>
      <c r="B142" s="3" t="s">
        <v>471</v>
      </c>
      <c r="C142" s="2" t="s">
        <v>487</v>
      </c>
      <c r="D142" s="2" t="s">
        <v>540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L142" s="77">
        <v>1</v>
      </c>
      <c r="M142" s="77">
        <v>1</v>
      </c>
    </row>
    <row r="143" spans="1:13" x14ac:dyDescent="0.25">
      <c r="A143" s="21" t="s">
        <v>69</v>
      </c>
      <c r="B143" s="3" t="s">
        <v>471</v>
      </c>
      <c r="C143" s="2" t="s">
        <v>487</v>
      </c>
      <c r="D143" s="2" t="s">
        <v>540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L143" s="77">
        <v>0</v>
      </c>
      <c r="M143" s="77">
        <v>0</v>
      </c>
    </row>
    <row r="144" spans="1:13" x14ac:dyDescent="0.25">
      <c r="A144" s="72" t="s">
        <v>70</v>
      </c>
      <c r="B144" s="3" t="s">
        <v>471</v>
      </c>
      <c r="C144" s="2" t="s">
        <v>487</v>
      </c>
      <c r="D144" s="2" t="s">
        <v>540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L144" s="80">
        <v>5.0000000000000004E-6</v>
      </c>
      <c r="M144" s="80">
        <v>5.0000000000000004E-6</v>
      </c>
    </row>
    <row r="145" spans="1:13" x14ac:dyDescent="0.25">
      <c r="A145" s="23" t="s">
        <v>56</v>
      </c>
      <c r="B145" s="3" t="s">
        <v>471</v>
      </c>
      <c r="C145" s="2" t="s">
        <v>487</v>
      </c>
      <c r="D145" s="2" t="s">
        <v>540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L145" s="77">
        <v>0</v>
      </c>
      <c r="M145" s="77">
        <v>0</v>
      </c>
    </row>
    <row r="146" spans="1:13" x14ac:dyDescent="0.25">
      <c r="A146" s="23" t="s">
        <v>57</v>
      </c>
      <c r="B146" s="3" t="s">
        <v>471</v>
      </c>
      <c r="C146" s="2" t="s">
        <v>487</v>
      </c>
      <c r="D146" s="2" t="s">
        <v>540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L146" s="77">
        <v>2E-3</v>
      </c>
      <c r="M146" s="77">
        <v>2E-3</v>
      </c>
    </row>
    <row r="147" spans="1:13" x14ac:dyDescent="0.25">
      <c r="A147" s="23" t="s">
        <v>58</v>
      </c>
      <c r="B147" s="3" t="s">
        <v>471</v>
      </c>
      <c r="C147" s="2" t="s">
        <v>487</v>
      </c>
      <c r="D147" s="2" t="s">
        <v>540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L147" s="80">
        <v>3.9999999999999998E-6</v>
      </c>
      <c r="M147" s="80">
        <v>3.9999999999999998E-6</v>
      </c>
    </row>
    <row r="148" spans="1:13" x14ac:dyDescent="0.25">
      <c r="A148" s="23" t="s">
        <v>71</v>
      </c>
      <c r="B148" s="3" t="s">
        <v>471</v>
      </c>
      <c r="C148" s="2" t="s">
        <v>487</v>
      </c>
      <c r="D148" s="2" t="s">
        <v>540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L148" s="80">
        <v>3.7699999999999999E-10</v>
      </c>
      <c r="M148" s="80">
        <v>3.7699999999999999E-10</v>
      </c>
    </row>
    <row r="149" spans="1:13" x14ac:dyDescent="0.25">
      <c r="A149" s="23" t="s">
        <v>237</v>
      </c>
      <c r="B149" s="3" t="s">
        <v>471</v>
      </c>
      <c r="C149" s="2" t="s">
        <v>487</v>
      </c>
      <c r="D149" s="2" t="s">
        <v>540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L149" s="77">
        <v>20</v>
      </c>
      <c r="M149" s="77">
        <v>20</v>
      </c>
    </row>
    <row r="150" spans="1:13" x14ac:dyDescent="0.25">
      <c r="A150" s="23" t="s">
        <v>238</v>
      </c>
      <c r="B150" s="3" t="s">
        <v>471</v>
      </c>
      <c r="C150" s="2" t="s">
        <v>487</v>
      </c>
      <c r="D150" s="2" t="s">
        <v>540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L150" s="77">
        <v>-0.06</v>
      </c>
      <c r="M150" s="77">
        <v>-0.06</v>
      </c>
    </row>
    <row r="151" spans="1:13" x14ac:dyDescent="0.25">
      <c r="A151" s="23" t="s">
        <v>239</v>
      </c>
      <c r="B151" s="3" t="s">
        <v>471</v>
      </c>
      <c r="C151" s="2" t="s">
        <v>487</v>
      </c>
      <c r="D151" s="2" t="s">
        <v>540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L151" s="77">
        <v>0.89100000000000001</v>
      </c>
      <c r="M151" s="77">
        <v>0.89100000000000001</v>
      </c>
    </row>
    <row r="152" spans="1:13" x14ac:dyDescent="0.25">
      <c r="A152" s="23" t="s">
        <v>240</v>
      </c>
      <c r="B152" s="3" t="s">
        <v>471</v>
      </c>
      <c r="C152" s="2" t="s">
        <v>487</v>
      </c>
      <c r="D152" s="2" t="s">
        <v>540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L152" s="77">
        <v>1</v>
      </c>
      <c r="M152" s="77">
        <v>1</v>
      </c>
    </row>
    <row r="153" spans="1:13" x14ac:dyDescent="0.25">
      <c r="A153" s="23" t="s">
        <v>72</v>
      </c>
      <c r="B153" s="3" t="s">
        <v>471</v>
      </c>
      <c r="C153" s="2" t="s">
        <v>487</v>
      </c>
      <c r="D153" s="2" t="s">
        <v>540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L153" s="80">
        <v>4.0000000000000003E-5</v>
      </c>
      <c r="M153" s="80">
        <v>4.0000000000000003E-5</v>
      </c>
    </row>
    <row r="154" spans="1:13" x14ac:dyDescent="0.25">
      <c r="A154" s="13" t="s">
        <v>73</v>
      </c>
      <c r="B154" s="3" t="s">
        <v>471</v>
      </c>
      <c r="C154" s="2" t="s">
        <v>487</v>
      </c>
      <c r="D154" s="2" t="s">
        <v>540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L154" s="80">
        <v>5.8333333333333335E-9</v>
      </c>
      <c r="M154" s="80">
        <v>5.8333333333333335E-9</v>
      </c>
    </row>
    <row r="155" spans="1:13" x14ac:dyDescent="0.25">
      <c r="A155" s="13" t="s">
        <v>241</v>
      </c>
      <c r="B155" s="3" t="s">
        <v>471</v>
      </c>
      <c r="C155" s="2" t="s">
        <v>487</v>
      </c>
      <c r="D155" s="2" t="s">
        <v>540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L155" s="77">
        <v>20</v>
      </c>
      <c r="M155" s="77">
        <v>20</v>
      </c>
    </row>
    <row r="156" spans="1:13" x14ac:dyDescent="0.25">
      <c r="A156" s="13" t="s">
        <v>242</v>
      </c>
      <c r="B156" s="3" t="s">
        <v>471</v>
      </c>
      <c r="C156" s="2" t="s">
        <v>487</v>
      </c>
      <c r="D156" s="2" t="s">
        <v>540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L156" s="77">
        <v>-0.06</v>
      </c>
      <c r="M156" s="77">
        <v>-0.06</v>
      </c>
    </row>
    <row r="157" spans="1:13" x14ac:dyDescent="0.25">
      <c r="A157" s="13" t="s">
        <v>243</v>
      </c>
      <c r="B157" s="3" t="s">
        <v>471</v>
      </c>
      <c r="C157" s="2" t="s">
        <v>487</v>
      </c>
      <c r="D157" s="2" t="s">
        <v>540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L157" s="77">
        <v>0.89100000000000001</v>
      </c>
      <c r="M157" s="77">
        <v>0.89100000000000001</v>
      </c>
    </row>
    <row r="158" spans="1:13" x14ac:dyDescent="0.25">
      <c r="A158" s="13" t="s">
        <v>244</v>
      </c>
      <c r="B158" s="3" t="s">
        <v>471</v>
      </c>
      <c r="C158" s="2" t="s">
        <v>487</v>
      </c>
      <c r="D158" s="2" t="s">
        <v>540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L158" s="77">
        <v>1</v>
      </c>
      <c r="M158" s="77">
        <v>1</v>
      </c>
    </row>
    <row r="159" spans="1:13" x14ac:dyDescent="0.25">
      <c r="A159" s="13" t="s">
        <v>74</v>
      </c>
      <c r="B159" s="3" t="s">
        <v>471</v>
      </c>
      <c r="C159" s="2" t="s">
        <v>487</v>
      </c>
      <c r="D159" s="2" t="s">
        <v>540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L159" s="80">
        <v>4.0000000000000003E-5</v>
      </c>
      <c r="M159" s="80">
        <v>4.0000000000000003E-5</v>
      </c>
    </row>
    <row r="160" spans="1:13" x14ac:dyDescent="0.25">
      <c r="A160" s="9" t="s">
        <v>75</v>
      </c>
      <c r="B160" s="3" t="s">
        <v>471</v>
      </c>
      <c r="C160" s="2" t="s">
        <v>487</v>
      </c>
      <c r="D160" s="2" t="s">
        <v>540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L160" s="83">
        <v>4.0000000000000001E-8</v>
      </c>
      <c r="M160" s="83">
        <v>4.0000000000000001E-8</v>
      </c>
    </row>
    <row r="161" spans="1:13" x14ac:dyDescent="0.25">
      <c r="A161" s="9" t="s">
        <v>219</v>
      </c>
      <c r="B161" s="3" t="s">
        <v>471</v>
      </c>
      <c r="C161" s="2" t="s">
        <v>487</v>
      </c>
      <c r="D161" s="2" t="s">
        <v>540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L161" s="77">
        <v>20</v>
      </c>
      <c r="M161" s="77">
        <v>20</v>
      </c>
    </row>
    <row r="162" spans="1:13" x14ac:dyDescent="0.25">
      <c r="A162" s="9" t="s">
        <v>220</v>
      </c>
      <c r="B162" s="3" t="s">
        <v>471</v>
      </c>
      <c r="C162" s="2" t="s">
        <v>487</v>
      </c>
      <c r="D162" s="2" t="s">
        <v>540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L162" s="77">
        <v>-4.4200000000000003E-2</v>
      </c>
      <c r="M162" s="77">
        <v>-4.4200000000000003E-2</v>
      </c>
    </row>
    <row r="163" spans="1:13" x14ac:dyDescent="0.25">
      <c r="A163" s="9" t="s">
        <v>221</v>
      </c>
      <c r="B163" s="3" t="s">
        <v>471</v>
      </c>
      <c r="C163" s="2" t="s">
        <v>487</v>
      </c>
      <c r="D163" s="2" t="s">
        <v>540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L163" s="77">
        <v>1.55</v>
      </c>
      <c r="M163" s="77">
        <v>1.55</v>
      </c>
    </row>
    <row r="164" spans="1:13" x14ac:dyDescent="0.25">
      <c r="A164" s="9" t="s">
        <v>222</v>
      </c>
      <c r="B164" s="3" t="s">
        <v>471</v>
      </c>
      <c r="C164" s="2" t="s">
        <v>487</v>
      </c>
      <c r="D164" s="2" t="s">
        <v>540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L164" s="77">
        <v>1</v>
      </c>
      <c r="M164" s="77">
        <v>1</v>
      </c>
    </row>
    <row r="165" spans="1:13" x14ac:dyDescent="0.25">
      <c r="A165" s="9" t="s">
        <v>76</v>
      </c>
      <c r="B165" s="3" t="s">
        <v>471</v>
      </c>
      <c r="C165" s="2" t="s">
        <v>487</v>
      </c>
      <c r="D165" s="2" t="s">
        <v>540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L165" s="77">
        <v>2.7799999999999998E-4</v>
      </c>
      <c r="M165" s="77">
        <v>2.7799999999999998E-4</v>
      </c>
    </row>
    <row r="166" spans="1:13" x14ac:dyDescent="0.25">
      <c r="A166" s="25" t="s">
        <v>78</v>
      </c>
      <c r="B166" s="3" t="s">
        <v>471</v>
      </c>
      <c r="C166" s="2" t="s">
        <v>487</v>
      </c>
      <c r="D166" s="2" t="s">
        <v>540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L166" s="84">
        <v>2.4999999999999998E-12</v>
      </c>
      <c r="M166" s="84">
        <v>2.4999999999999998E-12</v>
      </c>
    </row>
    <row r="167" spans="1:13" x14ac:dyDescent="0.25">
      <c r="A167" s="25" t="s">
        <v>246</v>
      </c>
      <c r="B167" s="3" t="s">
        <v>471</v>
      </c>
      <c r="C167" s="2" t="s">
        <v>487</v>
      </c>
      <c r="D167" s="2" t="s">
        <v>540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L167" s="77">
        <v>20</v>
      </c>
      <c r="M167" s="77">
        <v>20</v>
      </c>
    </row>
    <row r="168" spans="1:13" x14ac:dyDescent="0.25">
      <c r="A168" s="25" t="s">
        <v>247</v>
      </c>
      <c r="B168" s="3" t="s">
        <v>471</v>
      </c>
      <c r="C168" s="2" t="s">
        <v>487</v>
      </c>
      <c r="D168" s="2" t="s">
        <v>540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L168" s="77">
        <v>0</v>
      </c>
      <c r="M168" s="77">
        <v>0</v>
      </c>
    </row>
    <row r="169" spans="1:13" x14ac:dyDescent="0.25">
      <c r="A169" s="25" t="s">
        <v>248</v>
      </c>
      <c r="B169" s="3" t="s">
        <v>471</v>
      </c>
      <c r="C169" s="2" t="s">
        <v>487</v>
      </c>
      <c r="D169" s="2" t="s">
        <v>540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L169" s="77">
        <v>1</v>
      </c>
      <c r="M169" s="77">
        <v>1</v>
      </c>
    </row>
    <row r="170" spans="1:13" x14ac:dyDescent="0.25">
      <c r="A170" s="25" t="s">
        <v>249</v>
      </c>
      <c r="B170" s="3" t="s">
        <v>471</v>
      </c>
      <c r="C170" s="2" t="s">
        <v>487</v>
      </c>
      <c r="D170" s="2" t="s">
        <v>540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L170" s="77">
        <v>0</v>
      </c>
      <c r="M170" s="77">
        <v>0</v>
      </c>
    </row>
    <row r="171" spans="1:13" x14ac:dyDescent="0.25">
      <c r="A171" s="25" t="s">
        <v>79</v>
      </c>
      <c r="B171" s="3" t="s">
        <v>471</v>
      </c>
      <c r="C171" s="2" t="s">
        <v>487</v>
      </c>
      <c r="D171" s="2" t="s">
        <v>540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L171" s="77">
        <v>0.4</v>
      </c>
      <c r="M171" s="77">
        <v>0.4</v>
      </c>
    </row>
    <row r="172" spans="1:13" x14ac:dyDescent="0.25">
      <c r="A172" s="31" t="s">
        <v>80</v>
      </c>
      <c r="B172" s="3" t="s">
        <v>471</v>
      </c>
      <c r="C172" s="2" t="s">
        <v>487</v>
      </c>
      <c r="D172" s="2" t="s">
        <v>540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L172" s="86">
        <v>2.0000000000000001E-9</v>
      </c>
      <c r="M172" s="86">
        <v>2.0000000000000001E-9</v>
      </c>
    </row>
    <row r="173" spans="1:13" x14ac:dyDescent="0.25">
      <c r="A173" s="31" t="s">
        <v>250</v>
      </c>
      <c r="B173" s="3" t="s">
        <v>471</v>
      </c>
      <c r="C173" s="2" t="s">
        <v>487</v>
      </c>
      <c r="D173" s="2" t="s">
        <v>540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L173" s="77">
        <v>25</v>
      </c>
      <c r="M173" s="77">
        <v>25</v>
      </c>
    </row>
    <row r="174" spans="1:13" x14ac:dyDescent="0.25">
      <c r="A174" s="31" t="s">
        <v>251</v>
      </c>
      <c r="B174" s="3" t="s">
        <v>471</v>
      </c>
      <c r="C174" s="2" t="s">
        <v>487</v>
      </c>
      <c r="D174" s="2" t="s">
        <v>540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L174" s="77">
        <v>0</v>
      </c>
      <c r="M174" s="77">
        <v>0</v>
      </c>
    </row>
    <row r="175" spans="1:13" x14ac:dyDescent="0.25">
      <c r="A175" s="31" t="s">
        <v>252</v>
      </c>
      <c r="B175" s="3" t="s">
        <v>471</v>
      </c>
      <c r="C175" s="2" t="s">
        <v>487</v>
      </c>
      <c r="D175" s="2" t="s">
        <v>540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L175" s="77">
        <v>3.98</v>
      </c>
      <c r="M175" s="77">
        <v>3.98</v>
      </c>
    </row>
    <row r="176" spans="1:13" x14ac:dyDescent="0.25">
      <c r="A176" s="31" t="s">
        <v>253</v>
      </c>
      <c r="B176" s="3" t="s">
        <v>471</v>
      </c>
      <c r="C176" s="2" t="s">
        <v>487</v>
      </c>
      <c r="D176" s="2" t="s">
        <v>540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L176" s="77">
        <v>1</v>
      </c>
      <c r="M176" s="77">
        <v>1</v>
      </c>
    </row>
    <row r="177" spans="1:13" x14ac:dyDescent="0.25">
      <c r="A177" s="31" t="s">
        <v>81</v>
      </c>
      <c r="B177" s="3" t="s">
        <v>471</v>
      </c>
      <c r="C177" s="2" t="s">
        <v>487</v>
      </c>
      <c r="D177" s="2" t="s">
        <v>540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L177" s="78">
        <v>1.6666666666666666E-4</v>
      </c>
      <c r="M177" s="78">
        <v>1.6666666666666666E-4</v>
      </c>
    </row>
    <row r="178" spans="1:13" x14ac:dyDescent="0.25">
      <c r="A178" s="11" t="s">
        <v>254</v>
      </c>
      <c r="B178" s="3" t="s">
        <v>471</v>
      </c>
      <c r="C178" s="2" t="s">
        <v>487</v>
      </c>
      <c r="D178" s="2" t="s">
        <v>540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L178" s="80">
        <v>1E-8</v>
      </c>
      <c r="M178" s="80">
        <v>1E-8</v>
      </c>
    </row>
    <row r="179" spans="1:13" x14ac:dyDescent="0.25">
      <c r="A179" s="11" t="s">
        <v>255</v>
      </c>
      <c r="B179" s="3" t="s">
        <v>471</v>
      </c>
      <c r="C179" s="2" t="s">
        <v>487</v>
      </c>
      <c r="D179" s="2" t="s">
        <v>540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L179" s="77">
        <v>20</v>
      </c>
      <c r="M179" s="77">
        <v>20</v>
      </c>
    </row>
    <row r="180" spans="1:13" x14ac:dyDescent="0.25">
      <c r="A180" s="11" t="s">
        <v>256</v>
      </c>
      <c r="B180" s="3" t="s">
        <v>471</v>
      </c>
      <c r="C180" s="2" t="s">
        <v>487</v>
      </c>
      <c r="D180" s="2" t="s">
        <v>540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L180" s="77">
        <v>0</v>
      </c>
      <c r="M180" s="77">
        <v>0</v>
      </c>
    </row>
    <row r="181" spans="1:13" x14ac:dyDescent="0.25">
      <c r="A181" s="11" t="s">
        <v>257</v>
      </c>
      <c r="B181" s="3" t="s">
        <v>471</v>
      </c>
      <c r="C181" s="2" t="s">
        <v>487</v>
      </c>
      <c r="D181" s="2" t="s">
        <v>540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L181" s="77">
        <v>2</v>
      </c>
      <c r="M181" s="77">
        <v>2</v>
      </c>
    </row>
    <row r="182" spans="1:13" x14ac:dyDescent="0.25">
      <c r="A182" s="11" t="s">
        <v>258</v>
      </c>
      <c r="B182" s="3" t="s">
        <v>471</v>
      </c>
      <c r="C182" s="2" t="s">
        <v>487</v>
      </c>
      <c r="D182" s="2" t="s">
        <v>540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L182" s="77">
        <v>1</v>
      </c>
      <c r="M182" s="77">
        <v>1</v>
      </c>
    </row>
    <row r="183" spans="1:13" x14ac:dyDescent="0.25">
      <c r="A183" s="11" t="s">
        <v>259</v>
      </c>
      <c r="B183" s="3" t="s">
        <v>471</v>
      </c>
      <c r="C183" s="2" t="s">
        <v>487</v>
      </c>
      <c r="D183" s="2" t="s">
        <v>540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L183" s="78">
        <v>8.3333333333333331E-5</v>
      </c>
      <c r="M183" s="78">
        <v>8.3333333333333331E-5</v>
      </c>
    </row>
    <row r="184" spans="1:13" x14ac:dyDescent="0.25">
      <c r="A184" s="11" t="s">
        <v>260</v>
      </c>
      <c r="B184" s="3" t="s">
        <v>471</v>
      </c>
      <c r="C184" s="2" t="s">
        <v>487</v>
      </c>
      <c r="D184" s="2" t="s">
        <v>540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L184" s="77">
        <v>1</v>
      </c>
      <c r="M184" s="77">
        <v>1</v>
      </c>
    </row>
    <row r="185" spans="1:13" x14ac:dyDescent="0.25">
      <c r="A185" s="27" t="s">
        <v>261</v>
      </c>
      <c r="B185" s="3" t="s">
        <v>471</v>
      </c>
      <c r="C185" s="2" t="s">
        <v>487</v>
      </c>
      <c r="D185" s="2" t="s">
        <v>540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L185" s="77">
        <v>2.3533050791148899E-8</v>
      </c>
      <c r="M185" s="77">
        <v>2.3533050791148899E-8</v>
      </c>
    </row>
    <row r="186" spans="1:13" x14ac:dyDescent="0.25">
      <c r="A186" s="27" t="s">
        <v>262</v>
      </c>
      <c r="B186" s="3" t="s">
        <v>471</v>
      </c>
      <c r="C186" s="2" t="s">
        <v>487</v>
      </c>
      <c r="D186" s="2" t="s">
        <v>540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L186" s="77">
        <v>20</v>
      </c>
      <c r="M186" s="77">
        <v>20</v>
      </c>
    </row>
    <row r="187" spans="1:13" x14ac:dyDescent="0.25">
      <c r="A187" s="27" t="s">
        <v>263</v>
      </c>
      <c r="B187" s="3" t="s">
        <v>471</v>
      </c>
      <c r="C187" s="2" t="s">
        <v>487</v>
      </c>
      <c r="D187" s="2" t="s">
        <v>540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L187" s="77">
        <v>-0.187</v>
      </c>
      <c r="M187" s="77">
        <v>-0.187</v>
      </c>
    </row>
    <row r="188" spans="1:13" x14ac:dyDescent="0.25">
      <c r="A188" s="27" t="s">
        <v>264</v>
      </c>
      <c r="B188" s="3" t="s">
        <v>471</v>
      </c>
      <c r="C188" s="2" t="s">
        <v>487</v>
      </c>
      <c r="D188" s="2" t="s">
        <v>540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L188" s="77">
        <v>2.48</v>
      </c>
      <c r="M188" s="77">
        <v>2.48</v>
      </c>
    </row>
    <row r="189" spans="1:13" x14ac:dyDescent="0.25">
      <c r="A189" s="27" t="s">
        <v>265</v>
      </c>
      <c r="B189" s="3" t="s">
        <v>471</v>
      </c>
      <c r="C189" s="2" t="s">
        <v>487</v>
      </c>
      <c r="D189" s="2" t="s">
        <v>540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L189" s="77">
        <v>1</v>
      </c>
      <c r="M189" s="77">
        <v>1</v>
      </c>
    </row>
    <row r="190" spans="1:13" x14ac:dyDescent="0.25">
      <c r="A190" s="27" t="s">
        <v>266</v>
      </c>
      <c r="B190" s="3" t="s">
        <v>471</v>
      </c>
      <c r="C190" s="2" t="s">
        <v>487</v>
      </c>
      <c r="D190" s="2" t="s">
        <v>540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L190" s="77">
        <v>6.1060227588121015E-4</v>
      </c>
      <c r="M190" s="77">
        <v>6.1060227588121015E-4</v>
      </c>
    </row>
    <row r="191" spans="1:13" x14ac:dyDescent="0.25">
      <c r="A191" s="23" t="s">
        <v>267</v>
      </c>
      <c r="B191" s="3" t="s">
        <v>471</v>
      </c>
      <c r="C191" s="2" t="s">
        <v>487</v>
      </c>
      <c r="D191" s="2" t="s">
        <v>540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L191" s="85">
        <v>3.9999999999999998E-7</v>
      </c>
      <c r="M191" s="85">
        <v>3.9999999999999998E-7</v>
      </c>
    </row>
    <row r="192" spans="1:13" x14ac:dyDescent="0.25">
      <c r="A192" s="23" t="s">
        <v>268</v>
      </c>
      <c r="B192" s="3" t="s">
        <v>471</v>
      </c>
      <c r="C192" s="2" t="s">
        <v>487</v>
      </c>
      <c r="D192" s="2" t="s">
        <v>540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L192" s="77">
        <v>25</v>
      </c>
      <c r="M192" s="77">
        <v>25</v>
      </c>
    </row>
    <row r="193" spans="1:13" x14ac:dyDescent="0.25">
      <c r="A193" s="23" t="s">
        <v>269</v>
      </c>
      <c r="B193" s="3" t="s">
        <v>471</v>
      </c>
      <c r="C193" s="2" t="s">
        <v>487</v>
      </c>
      <c r="D193" s="2" t="s">
        <v>540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L193" s="77">
        <v>0</v>
      </c>
      <c r="M193" s="77">
        <v>0</v>
      </c>
    </row>
    <row r="194" spans="1:13" x14ac:dyDescent="0.25">
      <c r="A194" s="23" t="s">
        <v>270</v>
      </c>
      <c r="B194" s="3" t="s">
        <v>471</v>
      </c>
      <c r="C194" s="2" t="s">
        <v>487</v>
      </c>
      <c r="D194" s="2" t="s">
        <v>540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L194" s="77">
        <v>3.98</v>
      </c>
      <c r="M194" s="77">
        <v>3.98</v>
      </c>
    </row>
    <row r="195" spans="1:13" x14ac:dyDescent="0.25">
      <c r="A195" s="23" t="s">
        <v>271</v>
      </c>
      <c r="B195" s="3" t="s">
        <v>471</v>
      </c>
      <c r="C195" s="2" t="s">
        <v>487</v>
      </c>
      <c r="D195" s="2" t="s">
        <v>540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L195" s="77">
        <v>1</v>
      </c>
      <c r="M195" s="77">
        <v>1</v>
      </c>
    </row>
    <row r="196" spans="1:13" x14ac:dyDescent="0.25">
      <c r="A196" s="23" t="s">
        <v>272</v>
      </c>
      <c r="B196" s="3" t="s">
        <v>471</v>
      </c>
      <c r="C196" s="2" t="s">
        <v>487</v>
      </c>
      <c r="D196" s="2" t="s">
        <v>540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L196" s="78">
        <v>8.3333333333333331E-5</v>
      </c>
      <c r="M196" s="78">
        <v>8.3333333333333331E-5</v>
      </c>
    </row>
    <row r="197" spans="1:13" x14ac:dyDescent="0.25">
      <c r="A197" s="7" t="s">
        <v>273</v>
      </c>
      <c r="B197" s="3" t="s">
        <v>471</v>
      </c>
      <c r="C197" s="2" t="s">
        <v>487</v>
      </c>
      <c r="D197" s="2" t="s">
        <v>540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L197" s="85">
        <v>3.9999999999999998E-7</v>
      </c>
      <c r="M197" s="85">
        <v>3.9999999999999998E-7</v>
      </c>
    </row>
    <row r="198" spans="1:13" x14ac:dyDescent="0.25">
      <c r="A198" s="7" t="s">
        <v>274</v>
      </c>
      <c r="B198" s="3" t="s">
        <v>471</v>
      </c>
      <c r="C198" s="2" t="s">
        <v>487</v>
      </c>
      <c r="D198" s="2" t="s">
        <v>540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L198" s="77">
        <v>25</v>
      </c>
      <c r="M198" s="77">
        <v>25</v>
      </c>
    </row>
    <row r="199" spans="1:13" x14ac:dyDescent="0.25">
      <c r="A199" s="7" t="s">
        <v>275</v>
      </c>
      <c r="B199" s="3" t="s">
        <v>471</v>
      </c>
      <c r="C199" s="2" t="s">
        <v>487</v>
      </c>
      <c r="D199" s="2" t="s">
        <v>540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L199" s="77">
        <v>0</v>
      </c>
      <c r="M199" s="77">
        <v>0</v>
      </c>
    </row>
    <row r="200" spans="1:13" x14ac:dyDescent="0.25">
      <c r="A200" s="7" t="s">
        <v>276</v>
      </c>
      <c r="B200" s="3" t="s">
        <v>471</v>
      </c>
      <c r="C200" s="2" t="s">
        <v>487</v>
      </c>
      <c r="D200" s="2" t="s">
        <v>540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L200" s="77">
        <v>3.98</v>
      </c>
      <c r="M200" s="77">
        <v>3.98</v>
      </c>
    </row>
    <row r="201" spans="1:13" x14ac:dyDescent="0.25">
      <c r="A201" s="7" t="s">
        <v>277</v>
      </c>
      <c r="B201" s="3" t="s">
        <v>471</v>
      </c>
      <c r="C201" s="2" t="s">
        <v>487</v>
      </c>
      <c r="D201" s="2" t="s">
        <v>540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L201" s="77">
        <v>1</v>
      </c>
      <c r="M201" s="77">
        <v>1</v>
      </c>
    </row>
    <row r="202" spans="1:13" x14ac:dyDescent="0.25">
      <c r="A202" s="7" t="s">
        <v>278</v>
      </c>
      <c r="B202" s="3" t="s">
        <v>471</v>
      </c>
      <c r="C202" s="2" t="s">
        <v>487</v>
      </c>
      <c r="D202" s="2" t="s">
        <v>540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L202" s="78">
        <v>8.3333333333333331E-5</v>
      </c>
      <c r="M202" s="78">
        <v>8.3333333333333331E-5</v>
      </c>
    </row>
    <row r="203" spans="1:13" x14ac:dyDescent="0.25">
      <c r="A203" s="29" t="s">
        <v>279</v>
      </c>
      <c r="B203" s="3" t="s">
        <v>471</v>
      </c>
      <c r="C203" s="2" t="s">
        <v>487</v>
      </c>
      <c r="D203" s="2" t="s">
        <v>540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L203" s="85">
        <v>1.9999999999999999E-7</v>
      </c>
      <c r="M203" s="85">
        <v>1.9999999999999999E-7</v>
      </c>
    </row>
    <row r="204" spans="1:13" x14ac:dyDescent="0.25">
      <c r="A204" s="29" t="s">
        <v>280</v>
      </c>
      <c r="B204" s="3" t="s">
        <v>471</v>
      </c>
      <c r="C204" s="2" t="s">
        <v>487</v>
      </c>
      <c r="D204" s="2" t="s">
        <v>540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L204" s="77">
        <v>25</v>
      </c>
      <c r="M204" s="77">
        <v>25</v>
      </c>
    </row>
    <row r="205" spans="1:13" x14ac:dyDescent="0.25">
      <c r="A205" s="29" t="s">
        <v>281</v>
      </c>
      <c r="B205" s="3" t="s">
        <v>471</v>
      </c>
      <c r="C205" s="2" t="s">
        <v>487</v>
      </c>
      <c r="D205" s="2" t="s">
        <v>540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L205" s="77">
        <v>0</v>
      </c>
      <c r="M205" s="77">
        <v>0</v>
      </c>
    </row>
    <row r="206" spans="1:13" x14ac:dyDescent="0.25">
      <c r="A206" s="29" t="s">
        <v>282</v>
      </c>
      <c r="B206" s="3" t="s">
        <v>471</v>
      </c>
      <c r="C206" s="2" t="s">
        <v>487</v>
      </c>
      <c r="D206" s="2" t="s">
        <v>540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L206" s="77">
        <v>3.98</v>
      </c>
      <c r="M206" s="77">
        <v>3.98</v>
      </c>
    </row>
    <row r="207" spans="1:13" x14ac:dyDescent="0.25">
      <c r="A207" s="29" t="s">
        <v>283</v>
      </c>
      <c r="B207" s="3" t="s">
        <v>471</v>
      </c>
      <c r="C207" s="2" t="s">
        <v>487</v>
      </c>
      <c r="D207" s="2" t="s">
        <v>540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L207" s="77">
        <v>1</v>
      </c>
      <c r="M207" s="77">
        <v>1</v>
      </c>
    </row>
    <row r="208" spans="1:13" x14ac:dyDescent="0.25">
      <c r="A208" s="29" t="s">
        <v>284</v>
      </c>
      <c r="B208" s="3" t="s">
        <v>471</v>
      </c>
      <c r="C208" s="2" t="s">
        <v>487</v>
      </c>
      <c r="D208" s="2" t="s">
        <v>540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L208" s="78">
        <v>8.3333333333333331E-5</v>
      </c>
      <c r="M208" s="78">
        <v>8.3333333333333331E-5</v>
      </c>
    </row>
    <row r="209" spans="1:13" x14ac:dyDescent="0.25">
      <c r="A209" s="90" t="s">
        <v>362</v>
      </c>
      <c r="B209" s="91" t="s">
        <v>471</v>
      </c>
      <c r="C209" s="92" t="s">
        <v>487</v>
      </c>
      <c r="D209" s="2" t="s">
        <v>540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L209" s="95" t="s">
        <v>90</v>
      </c>
      <c r="M209" s="95" t="s">
        <v>90</v>
      </c>
    </row>
    <row r="210" spans="1:13" s="96" customFormat="1" x14ac:dyDescent="0.25">
      <c r="A210" s="2" t="s">
        <v>568</v>
      </c>
      <c r="B210" s="3" t="s">
        <v>471</v>
      </c>
      <c r="C210" s="3" t="s">
        <v>487</v>
      </c>
      <c r="D210" s="3" t="s">
        <v>540</v>
      </c>
      <c r="E210" s="30" t="s">
        <v>569</v>
      </c>
      <c r="F210" s="30" t="s">
        <v>570</v>
      </c>
      <c r="G210" s="2">
        <v>0.5</v>
      </c>
      <c r="H210" s="83">
        <f t="shared" ref="H210:J210" si="2">0.00002</f>
        <v>2.0000000000000002E-5</v>
      </c>
      <c r="I210" s="83">
        <f t="shared" si="2"/>
        <v>2.0000000000000002E-5</v>
      </c>
      <c r="J210" s="83">
        <f t="shared" si="2"/>
        <v>2.0000000000000002E-5</v>
      </c>
      <c r="K210" s="1"/>
      <c r="L210" s="2">
        <v>0.01</v>
      </c>
      <c r="M210" s="2">
        <v>0.01</v>
      </c>
    </row>
    <row r="211" spans="1:13" s="96" customFormat="1" x14ac:dyDescent="0.25">
      <c r="A211" s="2" t="s">
        <v>571</v>
      </c>
      <c r="B211" s="3" t="s">
        <v>471</v>
      </c>
      <c r="C211" s="3" t="s">
        <v>487</v>
      </c>
      <c r="D211" s="3" t="s">
        <v>540</v>
      </c>
      <c r="E211" s="30" t="s">
        <v>572</v>
      </c>
      <c r="F211" s="30" t="s">
        <v>573</v>
      </c>
      <c r="G211" s="98">
        <v>-100000</v>
      </c>
      <c r="H211" s="83">
        <v>0.3</v>
      </c>
      <c r="I211" s="83">
        <v>0.3</v>
      </c>
      <c r="J211" s="83">
        <v>0.3</v>
      </c>
      <c r="K211" s="1"/>
      <c r="L211" s="99">
        <v>0</v>
      </c>
      <c r="M211" s="99">
        <v>0</v>
      </c>
    </row>
    <row r="212" spans="1:13" s="96" customFormat="1" x14ac:dyDescent="0.25">
      <c r="A212" s="2" t="s">
        <v>516</v>
      </c>
      <c r="B212" s="3" t="s">
        <v>471</v>
      </c>
      <c r="C212" s="3" t="s">
        <v>487</v>
      </c>
      <c r="D212" s="3" t="s">
        <v>540</v>
      </c>
      <c r="E212" s="30" t="s">
        <v>517</v>
      </c>
      <c r="F212" s="30" t="s">
        <v>497</v>
      </c>
      <c r="G212" s="98">
        <v>-100000</v>
      </c>
      <c r="H212" s="83">
        <f t="shared" ref="H212" si="3">H211</f>
        <v>0.3</v>
      </c>
      <c r="I212" s="83">
        <v>-10000</v>
      </c>
      <c r="J212" s="83">
        <f t="shared" ref="J212" si="4">J211</f>
        <v>0.3</v>
      </c>
      <c r="K212" s="1"/>
      <c r="L212" s="99">
        <v>0</v>
      </c>
      <c r="M212" s="99">
        <v>0</v>
      </c>
    </row>
    <row r="213" spans="1:13" s="96" customFormat="1" x14ac:dyDescent="0.25">
      <c r="A213" s="2" t="s">
        <v>574</v>
      </c>
      <c r="B213" s="3" t="s">
        <v>471</v>
      </c>
      <c r="C213" s="3" t="s">
        <v>487</v>
      </c>
      <c r="D213" s="3" t="s">
        <v>540</v>
      </c>
      <c r="E213" s="96" t="s">
        <v>512</v>
      </c>
      <c r="F213" s="96" t="s">
        <v>495</v>
      </c>
      <c r="G213" s="100">
        <v>0.5</v>
      </c>
      <c r="H213" s="83">
        <f t="shared" ref="H213:I213" si="5">0.00002 / 14</f>
        <v>1.4285714285714286E-6</v>
      </c>
      <c r="I213" s="83">
        <f t="shared" si="5"/>
        <v>1.4285714285714286E-6</v>
      </c>
      <c r="J213" s="83">
        <v>2E-3</v>
      </c>
      <c r="K213" s="1"/>
      <c r="L213" s="100">
        <v>1</v>
      </c>
      <c r="M213" s="100">
        <v>0.01</v>
      </c>
    </row>
    <row r="214" spans="1:13" s="96" customFormat="1" x14ac:dyDescent="0.25">
      <c r="A214" s="2" t="s">
        <v>508</v>
      </c>
      <c r="B214" s="3" t="s">
        <v>471</v>
      </c>
      <c r="C214" s="3" t="s">
        <v>487</v>
      </c>
      <c r="D214" s="3" t="s">
        <v>540</v>
      </c>
      <c r="E214" s="96" t="s">
        <v>513</v>
      </c>
      <c r="F214" s="96" t="s">
        <v>511</v>
      </c>
      <c r="G214" s="100" t="s">
        <v>476</v>
      </c>
      <c r="H214" s="83" t="s">
        <v>476</v>
      </c>
      <c r="I214" s="83" t="s">
        <v>476</v>
      </c>
      <c r="J214" s="83">
        <v>0.1</v>
      </c>
      <c r="K214" s="1"/>
      <c r="L214" s="98">
        <v>0.1</v>
      </c>
      <c r="M214" s="98" t="s">
        <v>476</v>
      </c>
    </row>
    <row r="215" spans="1:13" s="96" customFormat="1" x14ac:dyDescent="0.25">
      <c r="A215" s="2" t="s">
        <v>509</v>
      </c>
      <c r="B215" s="3" t="s">
        <v>471</v>
      </c>
      <c r="C215" s="3" t="s">
        <v>487</v>
      </c>
      <c r="D215" s="3" t="s">
        <v>540</v>
      </c>
      <c r="E215" s="96" t="s">
        <v>514</v>
      </c>
      <c r="F215" s="96" t="s">
        <v>511</v>
      </c>
      <c r="G215" s="100">
        <v>0</v>
      </c>
      <c r="H215" s="83">
        <v>0</v>
      </c>
      <c r="I215" s="83">
        <v>0</v>
      </c>
      <c r="J215" s="83">
        <v>0.04</v>
      </c>
      <c r="K215" s="1"/>
      <c r="L215" s="98">
        <v>0.04</v>
      </c>
      <c r="M215" s="98">
        <v>0.04</v>
      </c>
    </row>
    <row r="216" spans="1:13" s="96" customFormat="1" x14ac:dyDescent="0.25">
      <c r="A216" s="2" t="s">
        <v>510</v>
      </c>
      <c r="B216" s="3" t="s">
        <v>471</v>
      </c>
      <c r="C216" s="3" t="s">
        <v>487</v>
      </c>
      <c r="D216" s="3" t="s">
        <v>540</v>
      </c>
      <c r="E216" s="96" t="s">
        <v>515</v>
      </c>
      <c r="F216" s="96" t="s">
        <v>511</v>
      </c>
      <c r="G216" s="100">
        <v>1E-3</v>
      </c>
      <c r="H216" s="83">
        <v>1E-3</v>
      </c>
      <c r="I216" s="83">
        <v>1E-3</v>
      </c>
      <c r="J216" s="83">
        <v>1E-3</v>
      </c>
      <c r="K216" s="1"/>
      <c r="L216" s="98">
        <v>1E-3</v>
      </c>
      <c r="M216" s="98">
        <v>1E-3</v>
      </c>
    </row>
    <row r="217" spans="1:13" x14ac:dyDescent="0.25">
      <c r="A217" s="2" t="s">
        <v>518</v>
      </c>
      <c r="B217" s="3" t="s">
        <v>471</v>
      </c>
      <c r="C217" s="2" t="s">
        <v>487</v>
      </c>
      <c r="D217" s="2" t="s">
        <v>540</v>
      </c>
      <c r="E217" s="96" t="s">
        <v>519</v>
      </c>
      <c r="F217" s="96" t="s">
        <v>507</v>
      </c>
      <c r="G217" s="100">
        <v>29</v>
      </c>
      <c r="H217" s="2">
        <v>29</v>
      </c>
      <c r="I217" s="2">
        <v>29</v>
      </c>
      <c r="J217" s="2">
        <v>29</v>
      </c>
      <c r="L217" s="2">
        <v>29</v>
      </c>
      <c r="M217" s="2">
        <v>29</v>
      </c>
    </row>
    <row r="218" spans="1:13" x14ac:dyDescent="0.25">
      <c r="A218" s="2" t="s">
        <v>520</v>
      </c>
      <c r="B218" s="3" t="s">
        <v>471</v>
      </c>
      <c r="C218" s="2" t="s">
        <v>487</v>
      </c>
      <c r="D218" s="2" t="s">
        <v>540</v>
      </c>
      <c r="E218" s="96" t="s">
        <v>521</v>
      </c>
      <c r="F218" s="96" t="s">
        <v>522</v>
      </c>
      <c r="G218" s="99">
        <f>1.25*0.000001</f>
        <v>1.2499999999999999E-6</v>
      </c>
      <c r="H218" s="99">
        <f>1250*0.000001/5</f>
        <v>2.5000000000000001E-4</v>
      </c>
      <c r="I218" s="99">
        <f>1250*0.000001/5</f>
        <v>2.5000000000000001E-4</v>
      </c>
      <c r="J218" s="99">
        <f>1250*0.000001/5</f>
        <v>2.5000000000000001E-4</v>
      </c>
      <c r="L218" s="99">
        <v>2.5000000000000001E-4</v>
      </c>
      <c r="M218" s="99">
        <v>2.5000000000000001E-4</v>
      </c>
    </row>
    <row r="219" spans="1:13" x14ac:dyDescent="0.25">
      <c r="A219" s="2" t="s">
        <v>523</v>
      </c>
      <c r="B219" s="3" t="s">
        <v>471</v>
      </c>
      <c r="C219" s="2" t="s">
        <v>487</v>
      </c>
      <c r="D219" s="2" t="s">
        <v>540</v>
      </c>
      <c r="E219" s="96" t="s">
        <v>524</v>
      </c>
      <c r="F219" s="96" t="s">
        <v>525</v>
      </c>
      <c r="G219" s="100">
        <v>9.9999999999999994E-12</v>
      </c>
      <c r="H219" s="100">
        <v>9.9999999999999994E-12</v>
      </c>
      <c r="I219" s="100">
        <v>9.9999999999999994E-12</v>
      </c>
      <c r="J219" s="100">
        <v>9.9999999999999994E-12</v>
      </c>
      <c r="L219" s="100">
        <v>9.9999999999999994E-12</v>
      </c>
      <c r="M219" s="100">
        <v>9.9999999999999994E-12</v>
      </c>
    </row>
    <row r="220" spans="1:13" x14ac:dyDescent="0.25">
      <c r="A220" s="2" t="s">
        <v>526</v>
      </c>
      <c r="B220" s="3" t="s">
        <v>471</v>
      </c>
      <c r="C220" s="2" t="s">
        <v>487</v>
      </c>
      <c r="D220" s="2" t="s">
        <v>540</v>
      </c>
      <c r="E220" s="96" t="s">
        <v>527</v>
      </c>
      <c r="F220" s="96" t="s">
        <v>528</v>
      </c>
      <c r="G220" s="99">
        <v>2.0000000000000001E-4</v>
      </c>
      <c r="H220" s="99">
        <v>2.0000000000000001E-4</v>
      </c>
      <c r="I220" s="99">
        <v>2.0000000000000001E-4</v>
      </c>
      <c r="J220" s="99">
        <v>2.0000000000000001E-4</v>
      </c>
      <c r="L220" s="99">
        <v>2.0000000000000001E-4</v>
      </c>
      <c r="M220" s="99">
        <v>2.0000000000000001E-4</v>
      </c>
    </row>
    <row r="221" spans="1:13" x14ac:dyDescent="0.25">
      <c r="A221" s="2" t="s">
        <v>542</v>
      </c>
      <c r="B221" s="3" t="s">
        <v>471</v>
      </c>
      <c r="C221" s="2" t="s">
        <v>487</v>
      </c>
      <c r="D221" s="2" t="s">
        <v>540</v>
      </c>
      <c r="E221" s="96" t="s">
        <v>553</v>
      </c>
      <c r="F221" s="96" t="s">
        <v>554</v>
      </c>
      <c r="G221" s="99">
        <v>2.4999999999999998E-12</v>
      </c>
      <c r="H221" s="83">
        <v>2.4999999999999999E-13</v>
      </c>
      <c r="I221" s="83">
        <v>2.4999999999999999E-13</v>
      </c>
      <c r="J221" s="83">
        <v>2.4999999999999999E-13</v>
      </c>
    </row>
    <row r="222" spans="1:13" x14ac:dyDescent="0.25">
      <c r="A222" s="2" t="s">
        <v>543</v>
      </c>
      <c r="B222" s="3" t="s">
        <v>471</v>
      </c>
      <c r="C222" s="2" t="s">
        <v>487</v>
      </c>
      <c r="D222" s="2" t="s">
        <v>540</v>
      </c>
      <c r="E222" s="96" t="s">
        <v>555</v>
      </c>
      <c r="F222" s="96" t="s">
        <v>554</v>
      </c>
      <c r="G222" s="99">
        <v>1.2E-8</v>
      </c>
      <c r="H222" s="83">
        <f>0.000000012 / 100</f>
        <v>1.2E-10</v>
      </c>
      <c r="I222" s="83">
        <f>0.000000012 / 100</f>
        <v>1.2E-10</v>
      </c>
      <c r="J222" s="83">
        <f>0.000000012 / 100</f>
        <v>1.2E-10</v>
      </c>
    </row>
    <row r="223" spans="1:13" x14ac:dyDescent="0.25">
      <c r="A223" s="2" t="s">
        <v>544</v>
      </c>
      <c r="B223" s="3" t="s">
        <v>471</v>
      </c>
      <c r="C223" s="2" t="s">
        <v>487</v>
      </c>
      <c r="D223" s="2" t="s">
        <v>540</v>
      </c>
      <c r="E223" s="96" t="s">
        <v>556</v>
      </c>
      <c r="F223" s="96" t="s">
        <v>557</v>
      </c>
      <c r="G223" s="99">
        <v>9.9999999999999995E-8</v>
      </c>
      <c r="H223" s="83">
        <f>0.000001 / 10000</f>
        <v>9.9999999999999991E-11</v>
      </c>
      <c r="I223" s="83">
        <f>0.000001 / 10000</f>
        <v>9.9999999999999991E-11</v>
      </c>
      <c r="J223" s="83">
        <f>0.000001 / 10000</f>
        <v>9.9999999999999991E-11</v>
      </c>
    </row>
    <row r="224" spans="1:13" x14ac:dyDescent="0.25">
      <c r="A224" s="2" t="s">
        <v>545</v>
      </c>
      <c r="B224" s="3" t="s">
        <v>471</v>
      </c>
      <c r="C224" s="2" t="s">
        <v>487</v>
      </c>
      <c r="D224" s="2" t="s">
        <v>540</v>
      </c>
      <c r="E224" s="96" t="s">
        <v>558</v>
      </c>
      <c r="F224" s="96" t="s">
        <v>559</v>
      </c>
      <c r="G224" s="99">
        <f>2*0.00001</f>
        <v>2.0000000000000002E-5</v>
      </c>
      <c r="H224" s="83">
        <v>5.0000000000000002E-5</v>
      </c>
      <c r="I224" s="83">
        <v>5.0000000000000002E-5</v>
      </c>
      <c r="J224" s="83">
        <v>5.0000000000000002E-5</v>
      </c>
    </row>
    <row r="225" spans="1:10" x14ac:dyDescent="0.25">
      <c r="A225" s="2" t="s">
        <v>523</v>
      </c>
      <c r="B225" s="3" t="s">
        <v>471</v>
      </c>
      <c r="C225" s="2" t="s">
        <v>487</v>
      </c>
      <c r="D225" s="2" t="s">
        <v>540</v>
      </c>
      <c r="E225" s="96" t="s">
        <v>560</v>
      </c>
      <c r="F225" s="96" t="s">
        <v>579</v>
      </c>
      <c r="G225" s="99">
        <f>0.00000000000001 * 1000</f>
        <v>9.9999999999999994E-12</v>
      </c>
      <c r="H225" s="83">
        <f>104 * 0.000000001 / 18</f>
        <v>5.777777777777778E-9</v>
      </c>
      <c r="I225" s="83">
        <f>104 * 0.000000001 / 18</f>
        <v>5.777777777777778E-9</v>
      </c>
      <c r="J225" s="83">
        <f>104 * 0.000000001 / 18</f>
        <v>5.777777777777778E-9</v>
      </c>
    </row>
    <row r="226" spans="1:10" x14ac:dyDescent="0.25">
      <c r="A226" s="2" t="s">
        <v>546</v>
      </c>
      <c r="B226" s="3" t="s">
        <v>471</v>
      </c>
      <c r="C226" s="2" t="s">
        <v>487</v>
      </c>
      <c r="D226" s="2" t="s">
        <v>540</v>
      </c>
      <c r="E226" s="96" t="s">
        <v>561</v>
      </c>
      <c r="F226" s="96" t="s">
        <v>579</v>
      </c>
      <c r="G226" s="99">
        <f>0.00000000000001 * 10000</f>
        <v>1E-10</v>
      </c>
      <c r="H226" s="83">
        <f t="shared" ref="H226" si="6">H225*10</f>
        <v>5.7777777777777781E-8</v>
      </c>
      <c r="I226" s="83">
        <f t="shared" ref="I226:J226" si="7">I225*10</f>
        <v>5.7777777777777781E-8</v>
      </c>
      <c r="J226" s="83">
        <f t="shared" si="7"/>
        <v>5.7777777777777781E-8</v>
      </c>
    </row>
    <row r="227" spans="1:10" x14ac:dyDescent="0.25">
      <c r="A227" s="2" t="s">
        <v>547</v>
      </c>
      <c r="B227" s="3" t="s">
        <v>471</v>
      </c>
      <c r="C227" s="2" t="s">
        <v>487</v>
      </c>
      <c r="D227" s="2" t="s">
        <v>540</v>
      </c>
      <c r="E227" s="96" t="s">
        <v>562</v>
      </c>
      <c r="F227" s="96" t="s">
        <v>507</v>
      </c>
      <c r="G227" s="99">
        <f>0.84*(0.36^2)</f>
        <v>0.10886399999999999</v>
      </c>
      <c r="H227" s="83">
        <f t="shared" ref="H227:J227" si="8">0.84*(0.36^2)</f>
        <v>0.10886399999999999</v>
      </c>
      <c r="I227" s="83">
        <f t="shared" si="8"/>
        <v>0.10886399999999999</v>
      </c>
      <c r="J227" s="83">
        <f t="shared" si="8"/>
        <v>0.10886399999999999</v>
      </c>
    </row>
    <row r="228" spans="1:10" x14ac:dyDescent="0.25">
      <c r="A228" s="2" t="s">
        <v>548</v>
      </c>
      <c r="B228" s="3" t="s">
        <v>471</v>
      </c>
      <c r="C228" s="2" t="s">
        <v>487</v>
      </c>
      <c r="D228" s="2" t="s">
        <v>540</v>
      </c>
      <c r="E228" s="96" t="s">
        <v>563</v>
      </c>
      <c r="F228" s="96" t="s">
        <v>495</v>
      </c>
      <c r="G228" s="100">
        <v>0.2</v>
      </c>
      <c r="H228" s="83">
        <v>0.2</v>
      </c>
      <c r="I228" s="83">
        <v>0.2</v>
      </c>
      <c r="J228" s="83">
        <v>0.2</v>
      </c>
    </row>
    <row r="229" spans="1:10" x14ac:dyDescent="0.25">
      <c r="A229" s="2" t="s">
        <v>549</v>
      </c>
      <c r="B229" s="3" t="s">
        <v>471</v>
      </c>
      <c r="C229" s="2" t="s">
        <v>487</v>
      </c>
      <c r="D229" s="2" t="s">
        <v>540</v>
      </c>
      <c r="E229" s="96" t="s">
        <v>564</v>
      </c>
      <c r="F229" s="96" t="s">
        <v>511</v>
      </c>
      <c r="G229" s="100" t="s">
        <v>476</v>
      </c>
      <c r="H229" s="83" t="s">
        <v>476</v>
      </c>
      <c r="I229" s="83" t="s">
        <v>476</v>
      </c>
      <c r="J229" s="83" t="s">
        <v>476</v>
      </c>
    </row>
    <row r="230" spans="1:10" x14ac:dyDescent="0.25">
      <c r="A230" s="2" t="s">
        <v>550</v>
      </c>
      <c r="B230" s="3" t="s">
        <v>471</v>
      </c>
      <c r="C230" s="2" t="s">
        <v>487</v>
      </c>
      <c r="D230" s="2" t="s">
        <v>540</v>
      </c>
      <c r="E230" s="96" t="s">
        <v>565</v>
      </c>
      <c r="F230" s="96" t="s">
        <v>511</v>
      </c>
      <c r="G230" s="100">
        <f>2*0.1</f>
        <v>0.2</v>
      </c>
      <c r="H230" s="83">
        <f t="shared" ref="H230:J230" si="9">2*0.1</f>
        <v>0.2</v>
      </c>
      <c r="I230" s="83">
        <f t="shared" si="9"/>
        <v>0.2</v>
      </c>
      <c r="J230" s="83">
        <f t="shared" si="9"/>
        <v>0.2</v>
      </c>
    </row>
    <row r="231" spans="1:10" x14ac:dyDescent="0.25">
      <c r="A231" s="2" t="s">
        <v>551</v>
      </c>
      <c r="B231" s="3" t="s">
        <v>471</v>
      </c>
      <c r="C231" s="2" t="s">
        <v>487</v>
      </c>
      <c r="D231" s="2" t="s">
        <v>540</v>
      </c>
      <c r="E231" s="96" t="s">
        <v>566</v>
      </c>
      <c r="F231" s="96" t="s">
        <v>511</v>
      </c>
      <c r="G231" s="100">
        <v>1E-3</v>
      </c>
      <c r="H231" s="83">
        <v>1E-3</v>
      </c>
      <c r="I231" s="83">
        <v>1E-3</v>
      </c>
      <c r="J231" s="83">
        <v>1E-3</v>
      </c>
    </row>
    <row r="232" spans="1:10" x14ac:dyDescent="0.25">
      <c r="A232" s="2" t="s">
        <v>552</v>
      </c>
      <c r="B232" s="3" t="s">
        <v>471</v>
      </c>
      <c r="C232" s="2" t="s">
        <v>487</v>
      </c>
      <c r="D232" s="2" t="s">
        <v>540</v>
      </c>
      <c r="E232" s="96" t="s">
        <v>567</v>
      </c>
      <c r="F232" s="96" t="s">
        <v>511</v>
      </c>
      <c r="G232" s="98">
        <v>1.0000000000000001E-5</v>
      </c>
      <c r="H232" s="83">
        <v>1.0000000000000001E-5</v>
      </c>
      <c r="I232" s="83">
        <v>1.0000000000000001E-5</v>
      </c>
      <c r="J232" s="83">
        <v>1.0000000000000001E-5</v>
      </c>
    </row>
    <row r="233" spans="1:10" x14ac:dyDescent="0.25">
      <c r="A233" s="2" t="s">
        <v>577</v>
      </c>
      <c r="B233" s="3" t="s">
        <v>471</v>
      </c>
      <c r="C233" s="3" t="s">
        <v>487</v>
      </c>
      <c r="D233" s="3" t="s">
        <v>540</v>
      </c>
      <c r="E233" s="30" t="s">
        <v>569</v>
      </c>
      <c r="F233" s="30" t="s">
        <v>570</v>
      </c>
      <c r="G233" s="83">
        <f t="shared" ref="G233:J233" si="10">0.00002 / 14 / 5</f>
        <v>2.8571428571428575E-7</v>
      </c>
      <c r="H233" s="83">
        <f t="shared" si="10"/>
        <v>2.8571428571428575E-7</v>
      </c>
      <c r="I233" s="83">
        <v>0</v>
      </c>
      <c r="J233" s="83">
        <f t="shared" si="10"/>
        <v>2.8571428571428575E-7</v>
      </c>
    </row>
    <row r="234" spans="1:10" x14ac:dyDescent="0.25">
      <c r="A234" s="2" t="s">
        <v>578</v>
      </c>
      <c r="B234" s="3" t="s">
        <v>471</v>
      </c>
      <c r="C234" s="3" t="s">
        <v>487</v>
      </c>
      <c r="D234" s="3" t="s">
        <v>540</v>
      </c>
      <c r="E234" s="30" t="s">
        <v>569</v>
      </c>
      <c r="F234" s="30" t="s">
        <v>570</v>
      </c>
      <c r="G234" s="83">
        <f>0.00002 / 14 / 5 /10</f>
        <v>2.8571428571428575E-8</v>
      </c>
      <c r="H234" s="83">
        <f>0.00002 / 14 / 5 /10</f>
        <v>2.8571428571428575E-8</v>
      </c>
      <c r="I234" s="83">
        <v>0</v>
      </c>
      <c r="J234" s="83">
        <f>0.00002 / 14 / 5 /10</f>
        <v>2.8571428571428575E-8</v>
      </c>
    </row>
  </sheetData>
  <conditionalFormatting sqref="G233:I23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4:J2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J128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J129 L129:M129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J130 L130:M130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2:J132 L132:M132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3:J133 L133:M133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8:J138 L138:M138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4:J144 L144:M144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60:J160 L160:M160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J21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J21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J21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J21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J21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J21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J216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J221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J222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J223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J224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J225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6:J226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7:J227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8:J232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7:M128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66:M166 H166:J166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2025-03-08T14:57:48Z</dcterms:modified>
</cp:coreProperties>
</file>