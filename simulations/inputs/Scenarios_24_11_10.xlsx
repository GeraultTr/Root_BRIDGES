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31710\home\torisuten\package\Wheat-BRIDGES\Root_BRIDGES\simulations\inputs\"/>
    </mc:Choice>
  </mc:AlternateContent>
  <xr:revisionPtr revIDLastSave="0" documentId="13_ncr:1_{4CB0F955-655A-409C-BE0D-A74A90ED9A05}" xr6:coauthVersionLast="47" xr6:coauthVersionMax="47" xr10:uidLastSave="{00000000-0000-0000-0000-000000000000}"/>
  <bookViews>
    <workbookView xWindow="-25320" yWindow="-15990" windowWidth="25440" windowHeight="1599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2" i="2" l="1"/>
  <c r="L129" i="2"/>
  <c r="O132" i="2" l="1"/>
  <c r="N231" i="2"/>
  <c r="L225" i="2"/>
  <c r="L231" i="2"/>
  <c r="L223" i="2"/>
  <c r="L222" i="2"/>
  <c r="L224" i="2"/>
  <c r="G224" i="2"/>
  <c r="L138" i="2"/>
  <c r="O129" i="2"/>
  <c r="N138" i="2"/>
  <c r="M132" i="2"/>
  <c r="N132" i="2"/>
  <c r="N129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11" i="2"/>
  <c r="O112" i="2"/>
  <c r="O113" i="2"/>
  <c r="O114" i="2"/>
  <c r="O115" i="2"/>
  <c r="O118" i="2"/>
  <c r="O121" i="2"/>
  <c r="O122" i="2"/>
  <c r="O123" i="2"/>
  <c r="O124" i="2"/>
  <c r="O125" i="2"/>
  <c r="O126" i="2"/>
  <c r="O127" i="2"/>
  <c r="O128" i="2"/>
  <c r="O131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1" i="2"/>
  <c r="O213" i="2"/>
  <c r="O214" i="2"/>
  <c r="O215" i="2"/>
  <c r="O217" i="2"/>
  <c r="O227" i="2"/>
  <c r="O228" i="2"/>
  <c r="O230" i="2"/>
  <c r="O232" i="2"/>
  <c r="O2" i="2"/>
  <c r="L75" i="2"/>
  <c r="O75" i="2" s="1"/>
  <c r="M233" i="2"/>
  <c r="M231" i="2"/>
  <c r="M229" i="2"/>
  <c r="M226" i="2"/>
  <c r="M223" i="2"/>
  <c r="O223" i="2" s="1"/>
  <c r="M222" i="2"/>
  <c r="M221" i="2"/>
  <c r="M220" i="2"/>
  <c r="M219" i="2"/>
  <c r="M218" i="2"/>
  <c r="M216" i="2"/>
  <c r="M212" i="2"/>
  <c r="M210" i="2"/>
  <c r="M130" i="2"/>
  <c r="M120" i="2"/>
  <c r="M119" i="2"/>
  <c r="M117" i="2"/>
  <c r="M116" i="2"/>
  <c r="M110" i="2"/>
  <c r="M109" i="2"/>
  <c r="M108" i="2"/>
  <c r="M107" i="2"/>
  <c r="K233" i="2" l="1"/>
  <c r="K231" i="2"/>
  <c r="K229" i="2"/>
  <c r="K226" i="2"/>
  <c r="K222" i="2"/>
  <c r="K221" i="2"/>
  <c r="K220" i="2"/>
  <c r="K219" i="2"/>
  <c r="K218" i="2"/>
  <c r="K216" i="2"/>
  <c r="K212" i="2"/>
  <c r="K210" i="2"/>
  <c r="K138" i="2"/>
  <c r="K132" i="2"/>
  <c r="K130" i="2"/>
  <c r="K129" i="2"/>
  <c r="K120" i="2"/>
  <c r="K119" i="2"/>
  <c r="K117" i="2"/>
  <c r="K116" i="2"/>
  <c r="K110" i="2"/>
  <c r="K109" i="2"/>
  <c r="K108" i="2"/>
  <c r="K107" i="2"/>
  <c r="L220" i="2"/>
  <c r="O220" i="2" s="1"/>
  <c r="L221" i="2" l="1"/>
  <c r="O221" i="2" s="1"/>
  <c r="L219" i="2"/>
  <c r="O219" i="2" s="1"/>
  <c r="O231" i="2" l="1"/>
  <c r="O222" i="2"/>
  <c r="L210" i="2"/>
  <c r="O210" i="2" s="1"/>
  <c r="G107" i="2" l="1"/>
  <c r="H107" i="2"/>
  <c r="I107" i="2"/>
  <c r="J107" i="2"/>
  <c r="L107" i="2"/>
  <c r="O107" i="2" s="1"/>
  <c r="G108" i="2"/>
  <c r="H108" i="2"/>
  <c r="I108" i="2"/>
  <c r="J108" i="2"/>
  <c r="L108" i="2"/>
  <c r="O108" i="2" s="1"/>
  <c r="G109" i="2"/>
  <c r="H109" i="2"/>
  <c r="I109" i="2"/>
  <c r="J109" i="2"/>
  <c r="L109" i="2"/>
  <c r="O109" i="2" s="1"/>
  <c r="G110" i="2"/>
  <c r="H110" i="2"/>
  <c r="I110" i="2"/>
  <c r="J110" i="2"/>
  <c r="L110" i="2"/>
  <c r="O110" i="2" s="1"/>
  <c r="G116" i="2"/>
  <c r="H116" i="2"/>
  <c r="I116" i="2"/>
  <c r="J116" i="2"/>
  <c r="L116" i="2"/>
  <c r="O116" i="2" s="1"/>
  <c r="G117" i="2"/>
  <c r="H117" i="2"/>
  <c r="I117" i="2"/>
  <c r="J117" i="2"/>
  <c r="L117" i="2"/>
  <c r="O117" i="2" s="1"/>
  <c r="G119" i="2"/>
  <c r="H119" i="2"/>
  <c r="I119" i="2"/>
  <c r="J119" i="2"/>
  <c r="L119" i="2"/>
  <c r="O119" i="2" s="1"/>
  <c r="G120" i="2"/>
  <c r="H120" i="2"/>
  <c r="I120" i="2"/>
  <c r="J120" i="2"/>
  <c r="L120" i="2"/>
  <c r="O120" i="2" s="1"/>
  <c r="H124" i="2"/>
  <c r="H129" i="2"/>
  <c r="I129" i="2"/>
  <c r="J129" i="2"/>
  <c r="H130" i="2"/>
  <c r="I130" i="2"/>
  <c r="J130" i="2"/>
  <c r="L130" i="2"/>
  <c r="O130" i="2" s="1"/>
  <c r="H210" i="2"/>
  <c r="I210" i="2"/>
  <c r="J210" i="2"/>
  <c r="H212" i="2"/>
  <c r="I212" i="2"/>
  <c r="L212" i="2"/>
  <c r="O212" i="2" s="1"/>
  <c r="G216" i="2"/>
  <c r="H216" i="2"/>
  <c r="I216" i="2"/>
  <c r="J216" i="2"/>
  <c r="L216" i="2"/>
  <c r="O216" i="2" s="1"/>
  <c r="I218" i="2"/>
  <c r="L218" i="2"/>
  <c r="O218" i="2" s="1"/>
  <c r="H219" i="2"/>
  <c r="I219" i="2"/>
  <c r="J219" i="2"/>
  <c r="H222" i="2"/>
  <c r="I222" i="2"/>
  <c r="J222" i="2"/>
  <c r="G223" i="2"/>
  <c r="G226" i="2"/>
  <c r="H226" i="2"/>
  <c r="I226" i="2"/>
  <c r="J226" i="2"/>
  <c r="L226" i="2"/>
  <c r="O226" i="2" s="1"/>
  <c r="G229" i="2"/>
  <c r="H229" i="2"/>
  <c r="I229" i="2"/>
  <c r="J229" i="2"/>
  <c r="L229" i="2"/>
  <c r="O229" i="2" s="1"/>
  <c r="G232" i="2"/>
  <c r="H232" i="2"/>
  <c r="J232" i="2"/>
  <c r="G233" i="2"/>
  <c r="H233" i="2"/>
  <c r="I233" i="2"/>
  <c r="J233" i="2"/>
  <c r="O233" i="2"/>
  <c r="P129" i="2" l="1"/>
  <c r="Q129" i="2"/>
  <c r="P130" i="2"/>
  <c r="Q1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<sst xmlns="http://schemas.openxmlformats.org/spreadsheetml/2006/main" count="2073" uniqueCount="583">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</sst>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3"/>
  <sheetViews>
    <sheetView tabSelected="1" zoomScale="89" workbookViewId="0">
      <pane xSplit="1" ySplit="1" topLeftCell="H108" activePane="bottomRight" state="frozen"/>
      <selection pane="topRight" activeCell="B1" sqref="B1"/>
      <selection pane="bottomLeft" activeCell="A2" sqref="A2"/>
      <selection pane="bottomRight" activeCell="L136" sqref="L136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7" width="39.85546875" style="1" customWidth="1"/>
  </cols>
  <sheetData>
    <row r="1" spans="1:17" s="1" customFormat="1" x14ac:dyDescent="0.25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575</v>
      </c>
      <c r="L1" s="97" t="s">
        <v>568</v>
      </c>
      <c r="M1" s="97" t="s">
        <v>576</v>
      </c>
      <c r="N1" s="1" t="s">
        <v>570</v>
      </c>
      <c r="O1" s="1" t="s">
        <v>578</v>
      </c>
      <c r="P1" s="97" t="s">
        <v>522</v>
      </c>
      <c r="Q1" s="97" t="s">
        <v>523</v>
      </c>
    </row>
    <row r="2" spans="1:17" s="1" customFormat="1" x14ac:dyDescent="0.25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L2" s="36" t="s">
        <v>476</v>
      </c>
      <c r="M2" s="36" t="s">
        <v>476</v>
      </c>
      <c r="O2" s="1" t="b">
        <f>L2=M2</f>
        <v>1</v>
      </c>
      <c r="P2" s="36" t="s">
        <v>528</v>
      </c>
      <c r="Q2" s="36" t="s">
        <v>476</v>
      </c>
    </row>
    <row r="3" spans="1:17" s="1" customFormat="1" ht="38.450000000000003" customHeight="1" x14ac:dyDescent="0.25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573</v>
      </c>
      <c r="L3" s="36" t="s">
        <v>577</v>
      </c>
      <c r="M3" s="36" t="s">
        <v>577</v>
      </c>
      <c r="O3" s="1" t="b">
        <f t="shared" ref="O3:O66" si="0">L3=M3</f>
        <v>1</v>
      </c>
      <c r="P3" s="36" t="s">
        <v>489</v>
      </c>
      <c r="Q3" s="36" t="s">
        <v>489</v>
      </c>
    </row>
    <row r="4" spans="1:17" s="1" customFormat="1" ht="15" customHeight="1" x14ac:dyDescent="0.25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L4" s="36" t="s">
        <v>482</v>
      </c>
      <c r="M4" s="36" t="s">
        <v>482</v>
      </c>
      <c r="O4" s="1" t="b">
        <f t="shared" si="0"/>
        <v>1</v>
      </c>
      <c r="P4" s="36" t="s">
        <v>482</v>
      </c>
      <c r="Q4" s="36" t="s">
        <v>482</v>
      </c>
    </row>
    <row r="5" spans="1:17" s="1" customFormat="1" ht="15" customHeight="1" x14ac:dyDescent="0.25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L5" s="36" t="s">
        <v>482</v>
      </c>
      <c r="M5" s="36" t="s">
        <v>482</v>
      </c>
      <c r="O5" s="1" t="b">
        <f t="shared" si="0"/>
        <v>1</v>
      </c>
      <c r="P5" s="36" t="s">
        <v>494</v>
      </c>
      <c r="Q5" s="36" t="s">
        <v>494</v>
      </c>
    </row>
    <row r="6" spans="1:17" s="1" customFormat="1" ht="39.6" customHeight="1" x14ac:dyDescent="0.25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573</v>
      </c>
      <c r="L6" s="36" t="s">
        <v>577</v>
      </c>
      <c r="M6" s="36" t="s">
        <v>577</v>
      </c>
      <c r="O6" s="1" t="b">
        <f t="shared" si="0"/>
        <v>1</v>
      </c>
      <c r="P6" s="36" t="s">
        <v>521</v>
      </c>
      <c r="Q6" s="36" t="s">
        <v>521</v>
      </c>
    </row>
    <row r="7" spans="1:17" s="1" customFormat="1" ht="15" customHeight="1" x14ac:dyDescent="0.25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L7" s="36" t="s">
        <v>494</v>
      </c>
      <c r="M7" s="36" t="s">
        <v>494</v>
      </c>
      <c r="O7" s="1" t="b">
        <f t="shared" si="0"/>
        <v>1</v>
      </c>
      <c r="P7" s="36" t="s">
        <v>494</v>
      </c>
      <c r="Q7" s="36" t="s">
        <v>494</v>
      </c>
    </row>
    <row r="8" spans="1:17" s="1" customFormat="1" ht="15" customHeight="1" x14ac:dyDescent="0.25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M8" s="36">
        <v>0</v>
      </c>
      <c r="O8" s="1" t="b">
        <f t="shared" si="0"/>
        <v>1</v>
      </c>
      <c r="P8" s="36">
        <v>0</v>
      </c>
      <c r="Q8" s="36">
        <v>0</v>
      </c>
    </row>
    <row r="9" spans="1:17" x14ac:dyDescent="0.25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 t="s">
        <v>87</v>
      </c>
      <c r="M9" s="77" t="s">
        <v>87</v>
      </c>
      <c r="O9" s="1" t="b">
        <f t="shared" si="0"/>
        <v>1</v>
      </c>
      <c r="P9" s="77" t="s">
        <v>87</v>
      </c>
      <c r="Q9" s="77" t="s">
        <v>87</v>
      </c>
    </row>
    <row r="10" spans="1:17" x14ac:dyDescent="0.25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>
        <v>1</v>
      </c>
      <c r="M10" s="77">
        <v>1</v>
      </c>
      <c r="O10" s="1" t="b">
        <f t="shared" si="0"/>
        <v>1</v>
      </c>
      <c r="P10" s="77">
        <v>1</v>
      </c>
      <c r="Q10" s="77">
        <v>1</v>
      </c>
    </row>
    <row r="11" spans="1:17" x14ac:dyDescent="0.25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 t="s">
        <v>88</v>
      </c>
      <c r="M11" s="77" t="s">
        <v>88</v>
      </c>
      <c r="O11" s="1" t="b">
        <f t="shared" si="0"/>
        <v>1</v>
      </c>
      <c r="P11" s="77" t="s">
        <v>88</v>
      </c>
      <c r="Q11" s="77" t="s">
        <v>88</v>
      </c>
    </row>
    <row r="12" spans="1:17" x14ac:dyDescent="0.25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>
        <v>180</v>
      </c>
      <c r="M12" s="85">
        <v>180</v>
      </c>
      <c r="O12" s="1" t="b">
        <f t="shared" si="0"/>
        <v>1</v>
      </c>
      <c r="P12" s="85">
        <v>180</v>
      </c>
      <c r="Q12" s="85">
        <v>180</v>
      </c>
    </row>
    <row r="13" spans="1:17" x14ac:dyDescent="0.25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>
        <v>4.1666666999999998E-2</v>
      </c>
      <c r="M13" s="78">
        <v>4.1666666999999998E-2</v>
      </c>
      <c r="O13" s="1" t="b">
        <f t="shared" si="0"/>
        <v>1</v>
      </c>
      <c r="P13" s="78">
        <v>4.1666666999999998E-2</v>
      </c>
      <c r="Q13" s="78">
        <v>4.1666666999999998E-2</v>
      </c>
    </row>
    <row r="14" spans="1:17" x14ac:dyDescent="0.25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>
        <v>4.1666666999999998E-2</v>
      </c>
      <c r="M14" s="79">
        <v>4.1666666999999998E-2</v>
      </c>
      <c r="O14" s="1" t="b">
        <f t="shared" si="0"/>
        <v>1</v>
      </c>
      <c r="P14" s="79">
        <v>4.1666666999999998E-2</v>
      </c>
      <c r="Q14" s="79">
        <v>4.1666666999999998E-2</v>
      </c>
    </row>
    <row r="15" spans="1:17" x14ac:dyDescent="0.25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>
        <v>1</v>
      </c>
      <c r="M15" s="77">
        <v>1</v>
      </c>
      <c r="O15" s="1" t="b">
        <f t="shared" si="0"/>
        <v>1</v>
      </c>
      <c r="P15" s="77">
        <v>1</v>
      </c>
      <c r="Q15" s="77">
        <v>1</v>
      </c>
    </row>
    <row r="16" spans="1:17" x14ac:dyDescent="0.25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>
        <v>0</v>
      </c>
      <c r="M16" s="77">
        <v>0</v>
      </c>
      <c r="O16" s="1" t="b">
        <f t="shared" si="0"/>
        <v>1</v>
      </c>
      <c r="P16" s="77">
        <v>0</v>
      </c>
      <c r="Q16" s="77">
        <v>0</v>
      </c>
    </row>
    <row r="17" spans="1:17" x14ac:dyDescent="0.25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 t="s">
        <v>88</v>
      </c>
      <c r="M17" s="77" t="s">
        <v>88</v>
      </c>
      <c r="O17" s="1" t="b">
        <f t="shared" si="0"/>
        <v>1</v>
      </c>
      <c r="P17" s="77" t="s">
        <v>88</v>
      </c>
      <c r="Q17" s="77" t="s">
        <v>88</v>
      </c>
    </row>
    <row r="18" spans="1:17" x14ac:dyDescent="0.25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>
        <v>5.0000000000000001E-9</v>
      </c>
      <c r="M18" s="80">
        <v>5.0000000000000001E-9</v>
      </c>
      <c r="O18" s="1" t="b">
        <f t="shared" si="0"/>
        <v>1</v>
      </c>
      <c r="P18" s="80">
        <v>5.0000000000000001E-9</v>
      </c>
      <c r="Q18" s="80">
        <v>5.0000000000000001E-9</v>
      </c>
    </row>
    <row r="19" spans="1:17" x14ac:dyDescent="0.25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>
        <v>10</v>
      </c>
      <c r="M19" s="77">
        <v>10</v>
      </c>
      <c r="O19" s="1" t="b">
        <f t="shared" si="0"/>
        <v>1</v>
      </c>
      <c r="P19" s="77">
        <v>10</v>
      </c>
      <c r="Q19" s="77">
        <v>10</v>
      </c>
    </row>
    <row r="20" spans="1:17" x14ac:dyDescent="0.25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 t="s">
        <v>88</v>
      </c>
      <c r="M20" s="77" t="s">
        <v>88</v>
      </c>
      <c r="O20" s="1" t="b">
        <f t="shared" si="0"/>
        <v>1</v>
      </c>
      <c r="P20" s="77" t="s">
        <v>88</v>
      </c>
      <c r="Q20" s="77" t="s">
        <v>88</v>
      </c>
    </row>
    <row r="21" spans="1:17" x14ac:dyDescent="0.25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 t="s">
        <v>88</v>
      </c>
      <c r="M21" s="77" t="s">
        <v>88</v>
      </c>
      <c r="O21" s="1" t="b">
        <f t="shared" si="0"/>
        <v>1</v>
      </c>
      <c r="P21" s="77" t="s">
        <v>88</v>
      </c>
      <c r="Q21" s="77" t="s">
        <v>88</v>
      </c>
    </row>
    <row r="22" spans="1:17" x14ac:dyDescent="0.25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 t="s">
        <v>88</v>
      </c>
      <c r="M22" s="77" t="s">
        <v>88</v>
      </c>
      <c r="O22" s="1" t="b">
        <f t="shared" si="0"/>
        <v>1</v>
      </c>
      <c r="P22" s="77" t="s">
        <v>88</v>
      </c>
      <c r="Q22" s="77" t="s">
        <v>88</v>
      </c>
    </row>
    <row r="23" spans="1:17" x14ac:dyDescent="0.25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>
        <v>86400</v>
      </c>
      <c r="M23" s="77">
        <v>86400</v>
      </c>
      <c r="O23" s="1" t="b">
        <f t="shared" si="0"/>
        <v>1</v>
      </c>
      <c r="P23" s="77">
        <v>86400</v>
      </c>
      <c r="Q23" s="77">
        <v>86400</v>
      </c>
    </row>
    <row r="24" spans="1:17" x14ac:dyDescent="0.25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 t="s">
        <v>87</v>
      </c>
      <c r="M24" s="77" t="s">
        <v>87</v>
      </c>
      <c r="O24" s="1" t="b">
        <f t="shared" si="0"/>
        <v>1</v>
      </c>
      <c r="P24" s="77" t="s">
        <v>87</v>
      </c>
      <c r="Q24" s="77" t="s">
        <v>87</v>
      </c>
    </row>
    <row r="25" spans="1:17" x14ac:dyDescent="0.25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>
        <v>3</v>
      </c>
      <c r="M25" s="77">
        <v>3</v>
      </c>
      <c r="O25" s="1" t="b">
        <f t="shared" si="0"/>
        <v>1</v>
      </c>
      <c r="P25" s="77">
        <v>3</v>
      </c>
      <c r="Q25" s="77">
        <v>3</v>
      </c>
    </row>
    <row r="26" spans="1:17" x14ac:dyDescent="0.25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 t="s">
        <v>88</v>
      </c>
      <c r="M26" s="81" t="s">
        <v>88</v>
      </c>
      <c r="O26" s="1" t="b">
        <f t="shared" si="0"/>
        <v>1</v>
      </c>
      <c r="P26" s="81" t="s">
        <v>88</v>
      </c>
      <c r="Q26" s="81" t="s">
        <v>88</v>
      </c>
    </row>
    <row r="27" spans="1:17" x14ac:dyDescent="0.25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 t="s">
        <v>88</v>
      </c>
      <c r="M27" s="81" t="s">
        <v>88</v>
      </c>
      <c r="O27" s="1" t="b">
        <f t="shared" si="0"/>
        <v>1</v>
      </c>
      <c r="P27" s="81" t="s">
        <v>88</v>
      </c>
      <c r="Q27" s="81" t="s">
        <v>88</v>
      </c>
    </row>
    <row r="28" spans="1:17" x14ac:dyDescent="0.25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 t="s">
        <v>88</v>
      </c>
      <c r="M28" s="77" t="s">
        <v>88</v>
      </c>
      <c r="O28" s="1" t="b">
        <f t="shared" si="0"/>
        <v>1</v>
      </c>
      <c r="P28" s="77" t="s">
        <v>88</v>
      </c>
      <c r="Q28" s="77" t="s">
        <v>88</v>
      </c>
    </row>
    <row r="29" spans="1:17" x14ac:dyDescent="0.25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 t="s">
        <v>88</v>
      </c>
      <c r="M29" s="81" t="s">
        <v>88</v>
      </c>
      <c r="O29" s="1" t="b">
        <f t="shared" si="0"/>
        <v>1</v>
      </c>
      <c r="P29" s="81" t="s">
        <v>88</v>
      </c>
      <c r="Q29" s="81" t="s">
        <v>88</v>
      </c>
    </row>
    <row r="30" spans="1:17" x14ac:dyDescent="0.25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 t="s">
        <v>88</v>
      </c>
      <c r="M30" s="81" t="s">
        <v>88</v>
      </c>
      <c r="O30" s="1" t="b">
        <f t="shared" si="0"/>
        <v>1</v>
      </c>
      <c r="P30" s="81" t="s">
        <v>88</v>
      </c>
      <c r="Q30" s="81" t="s">
        <v>88</v>
      </c>
    </row>
    <row r="31" spans="1:17" x14ac:dyDescent="0.25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 t="s">
        <v>88</v>
      </c>
      <c r="M31" s="77" t="s">
        <v>88</v>
      </c>
      <c r="O31" s="1" t="b">
        <f t="shared" si="0"/>
        <v>1</v>
      </c>
      <c r="P31" s="77" t="s">
        <v>88</v>
      </c>
      <c r="Q31" s="77" t="s">
        <v>88</v>
      </c>
    </row>
    <row r="32" spans="1:17" x14ac:dyDescent="0.25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>
        <v>0.33</v>
      </c>
      <c r="M32" s="77">
        <v>0.33</v>
      </c>
      <c r="O32" s="1" t="b">
        <f t="shared" si="0"/>
        <v>1</v>
      </c>
      <c r="P32" s="77">
        <v>0.33</v>
      </c>
      <c r="Q32" s="77">
        <v>0.33</v>
      </c>
    </row>
    <row r="33" spans="1:17" x14ac:dyDescent="0.25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 t="s">
        <v>88</v>
      </c>
      <c r="M33" s="77" t="s">
        <v>88</v>
      </c>
      <c r="O33" s="1" t="b">
        <f t="shared" si="0"/>
        <v>1</v>
      </c>
      <c r="P33" s="77" t="s">
        <v>88</v>
      </c>
      <c r="Q33" s="77" t="s">
        <v>88</v>
      </c>
    </row>
    <row r="34" spans="1:17" x14ac:dyDescent="0.25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 t="s">
        <v>88</v>
      </c>
      <c r="M34" s="77" t="s">
        <v>88</v>
      </c>
      <c r="O34" s="1" t="b">
        <f t="shared" si="0"/>
        <v>1</v>
      </c>
      <c r="P34" s="77" t="s">
        <v>88</v>
      </c>
      <c r="Q34" s="77" t="s">
        <v>88</v>
      </c>
    </row>
    <row r="35" spans="1:17" x14ac:dyDescent="0.25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 t="s">
        <v>88</v>
      </c>
      <c r="M35" s="77" t="s">
        <v>88</v>
      </c>
      <c r="O35" s="1" t="b">
        <f t="shared" si="0"/>
        <v>1</v>
      </c>
      <c r="P35" s="77" t="s">
        <v>88</v>
      </c>
      <c r="Q35" s="77" t="s">
        <v>88</v>
      </c>
    </row>
    <row r="36" spans="1:17" x14ac:dyDescent="0.25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 t="s">
        <v>87</v>
      </c>
      <c r="M36" s="77" t="s">
        <v>87</v>
      </c>
      <c r="O36" s="1" t="b">
        <f t="shared" si="0"/>
        <v>1</v>
      </c>
      <c r="P36" s="77" t="s">
        <v>87</v>
      </c>
      <c r="Q36" s="77" t="s">
        <v>87</v>
      </c>
    </row>
    <row r="37" spans="1:17" x14ac:dyDescent="0.25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L37" s="85" t="s">
        <v>433</v>
      </c>
      <c r="M37" s="85" t="s">
        <v>433</v>
      </c>
      <c r="O37" s="1" t="b">
        <f t="shared" si="0"/>
        <v>1</v>
      </c>
      <c r="P37" s="85" t="s">
        <v>433</v>
      </c>
      <c r="Q37" s="85" t="s">
        <v>433</v>
      </c>
    </row>
    <row r="38" spans="1:17" x14ac:dyDescent="0.25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>
        <v>9.9999999999999995E-7</v>
      </c>
      <c r="M38" s="80">
        <v>9.9999999999999995E-7</v>
      </c>
      <c r="O38" s="1" t="b">
        <f t="shared" si="0"/>
        <v>1</v>
      </c>
      <c r="P38" s="80">
        <v>9.9999999999999995E-7</v>
      </c>
      <c r="Q38" s="80">
        <v>9.9999999999999995E-7</v>
      </c>
    </row>
    <row r="39" spans="1:17" x14ac:dyDescent="0.25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>
        <v>1E-3</v>
      </c>
      <c r="M39" s="86">
        <v>1E-3</v>
      </c>
      <c r="O39" s="1" t="b">
        <f t="shared" si="0"/>
        <v>1</v>
      </c>
      <c r="P39" s="86">
        <v>1E-3</v>
      </c>
      <c r="Q39" s="86">
        <v>1E-3</v>
      </c>
    </row>
    <row r="40" spans="1:17" x14ac:dyDescent="0.25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 t="s">
        <v>87</v>
      </c>
      <c r="M40" s="77" t="s">
        <v>87</v>
      </c>
      <c r="O40" s="1" t="b">
        <f t="shared" si="0"/>
        <v>1</v>
      </c>
      <c r="P40" s="77" t="s">
        <v>87</v>
      </c>
      <c r="Q40" s="77" t="s">
        <v>87</v>
      </c>
    </row>
    <row r="41" spans="1:17" x14ac:dyDescent="0.25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 t="s">
        <v>89</v>
      </c>
      <c r="M41" s="77" t="s">
        <v>89</v>
      </c>
      <c r="O41" s="1" t="b">
        <f t="shared" si="0"/>
        <v>1</v>
      </c>
      <c r="P41" s="77" t="s">
        <v>89</v>
      </c>
      <c r="Q41" s="77" t="s">
        <v>89</v>
      </c>
    </row>
    <row r="42" spans="1:17" x14ac:dyDescent="0.25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 t="s">
        <v>87</v>
      </c>
      <c r="M42" s="77" t="s">
        <v>87</v>
      </c>
      <c r="O42" s="1" t="b">
        <f t="shared" si="0"/>
        <v>1</v>
      </c>
      <c r="P42" s="77" t="s">
        <v>87</v>
      </c>
      <c r="Q42" s="77" t="s">
        <v>87</v>
      </c>
    </row>
    <row r="43" spans="1:17" x14ac:dyDescent="0.25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 t="s">
        <v>88</v>
      </c>
      <c r="M43" s="77" t="s">
        <v>88</v>
      </c>
      <c r="O43" s="1" t="b">
        <f t="shared" si="0"/>
        <v>1</v>
      </c>
      <c r="P43" s="77" t="s">
        <v>88</v>
      </c>
      <c r="Q43" s="77" t="s">
        <v>88</v>
      </c>
    </row>
    <row r="44" spans="1:17" x14ac:dyDescent="0.25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>
        <v>120</v>
      </c>
      <c r="M44" s="77">
        <v>120</v>
      </c>
      <c r="O44" s="1" t="b">
        <f t="shared" si="0"/>
        <v>1</v>
      </c>
      <c r="P44" s="77">
        <v>120</v>
      </c>
      <c r="Q44" s="77">
        <v>120</v>
      </c>
    </row>
    <row r="45" spans="1:17" x14ac:dyDescent="0.25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>
        <v>0</v>
      </c>
      <c r="M45" s="77">
        <v>0</v>
      </c>
      <c r="O45" s="1" t="b">
        <f t="shared" si="0"/>
        <v>1</v>
      </c>
      <c r="P45" s="77">
        <v>0</v>
      </c>
      <c r="Q45" s="77">
        <v>0</v>
      </c>
    </row>
    <row r="46" spans="1:17" x14ac:dyDescent="0.25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>
        <v>0</v>
      </c>
      <c r="M46" s="77">
        <v>0</v>
      </c>
      <c r="O46" s="1" t="b">
        <f t="shared" si="0"/>
        <v>1</v>
      </c>
      <c r="P46" s="77">
        <v>0</v>
      </c>
      <c r="Q46" s="77">
        <v>0</v>
      </c>
    </row>
    <row r="47" spans="1:17" x14ac:dyDescent="0.25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>
        <v>-0.1</v>
      </c>
      <c r="M47" s="77">
        <v>-0.1</v>
      </c>
      <c r="O47" s="1" t="b">
        <f t="shared" si="0"/>
        <v>1</v>
      </c>
      <c r="P47" s="77">
        <v>-0.1</v>
      </c>
      <c r="Q47" s="77">
        <v>-0.1</v>
      </c>
    </row>
    <row r="48" spans="1:17" x14ac:dyDescent="0.25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>
        <v>-0.2</v>
      </c>
      <c r="M48" s="77">
        <v>-0.2</v>
      </c>
      <c r="O48" s="1" t="b">
        <f t="shared" si="0"/>
        <v>1</v>
      </c>
      <c r="P48" s="77">
        <v>-0.2</v>
      </c>
      <c r="Q48" s="77">
        <v>-0.2</v>
      </c>
    </row>
    <row r="49" spans="1:17" x14ac:dyDescent="0.25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>
        <v>0.4</v>
      </c>
      <c r="M49" s="77">
        <v>0.4</v>
      </c>
      <c r="O49" s="1" t="b">
        <f t="shared" si="0"/>
        <v>1</v>
      </c>
      <c r="P49" s="77">
        <v>0.4</v>
      </c>
      <c r="Q49" s="77">
        <v>0.4</v>
      </c>
    </row>
    <row r="50" spans="1:17" x14ac:dyDescent="0.25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>
        <v>0</v>
      </c>
      <c r="M50" s="77">
        <v>0</v>
      </c>
      <c r="O50" s="1" t="b">
        <f t="shared" si="0"/>
        <v>1</v>
      </c>
      <c r="P50" s="77">
        <v>0</v>
      </c>
      <c r="Q50" s="77">
        <v>0</v>
      </c>
    </row>
    <row r="51" spans="1:17" x14ac:dyDescent="0.25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>
        <v>1200</v>
      </c>
      <c r="M51" s="77">
        <v>1200</v>
      </c>
      <c r="O51" s="1" t="b">
        <f t="shared" si="0"/>
        <v>1</v>
      </c>
      <c r="P51" s="77">
        <v>1200</v>
      </c>
      <c r="Q51" s="77">
        <v>1200</v>
      </c>
    </row>
    <row r="52" spans="1:17" x14ac:dyDescent="0.25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>
        <v>1200</v>
      </c>
      <c r="M52" s="77">
        <v>1200</v>
      </c>
      <c r="O52" s="1" t="b">
        <f t="shared" si="0"/>
        <v>1</v>
      </c>
      <c r="P52" s="77">
        <v>1200</v>
      </c>
      <c r="Q52" s="77">
        <v>1200</v>
      </c>
    </row>
    <row r="53" spans="1:17" x14ac:dyDescent="0.25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L53" s="35" t="s">
        <v>460</v>
      </c>
      <c r="M53" s="35" t="s">
        <v>460</v>
      </c>
      <c r="O53" s="1" t="b">
        <f t="shared" si="0"/>
        <v>1</v>
      </c>
      <c r="P53" s="35" t="s">
        <v>460</v>
      </c>
      <c r="Q53" s="35" t="s">
        <v>460</v>
      </c>
    </row>
    <row r="54" spans="1:17" x14ac:dyDescent="0.25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 t="s">
        <v>87</v>
      </c>
      <c r="M54" s="77" t="s">
        <v>87</v>
      </c>
      <c r="O54" s="1" t="b">
        <f t="shared" si="0"/>
        <v>1</v>
      </c>
      <c r="P54" s="77" t="s">
        <v>87</v>
      </c>
      <c r="Q54" s="77" t="s">
        <v>87</v>
      </c>
    </row>
    <row r="55" spans="1:17" x14ac:dyDescent="0.25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 t="s">
        <v>87</v>
      </c>
      <c r="M55" s="77" t="s">
        <v>87</v>
      </c>
      <c r="O55" s="1" t="b">
        <f t="shared" si="0"/>
        <v>1</v>
      </c>
      <c r="P55" s="77" t="s">
        <v>87</v>
      </c>
      <c r="Q55" s="77" t="s">
        <v>87</v>
      </c>
    </row>
    <row r="56" spans="1:17" x14ac:dyDescent="0.25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>
        <v>0</v>
      </c>
      <c r="M56" s="77">
        <v>0</v>
      </c>
      <c r="O56" s="1" t="b">
        <f t="shared" si="0"/>
        <v>1</v>
      </c>
      <c r="P56" s="77">
        <v>0</v>
      </c>
      <c r="Q56" s="77">
        <v>0</v>
      </c>
    </row>
    <row r="57" spans="1:17" x14ac:dyDescent="0.25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>
        <v>0.5</v>
      </c>
      <c r="M57" s="77">
        <v>0.5</v>
      </c>
      <c r="O57" s="1" t="b">
        <f t="shared" si="0"/>
        <v>1</v>
      </c>
      <c r="P57" s="77">
        <v>0.5</v>
      </c>
      <c r="Q57" s="77">
        <v>0.5</v>
      </c>
    </row>
    <row r="58" spans="1:17" x14ac:dyDescent="0.25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>
        <v>0.05</v>
      </c>
      <c r="M58" s="77">
        <v>0.05</v>
      </c>
      <c r="O58" s="1" t="b">
        <f t="shared" si="0"/>
        <v>1</v>
      </c>
      <c r="P58" s="77">
        <v>0.05</v>
      </c>
      <c r="Q58" s="77">
        <v>0.05</v>
      </c>
    </row>
    <row r="59" spans="1:17" x14ac:dyDescent="0.25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>
        <v>1E-3</v>
      </c>
      <c r="M59" s="80">
        <v>1E-3</v>
      </c>
      <c r="O59" s="1" t="b">
        <f t="shared" si="0"/>
        <v>1</v>
      </c>
      <c r="P59" s="80">
        <v>1E-3</v>
      </c>
      <c r="Q59" s="80">
        <v>1E-3</v>
      </c>
    </row>
    <row r="60" spans="1:17" x14ac:dyDescent="0.25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>
        <v>0</v>
      </c>
      <c r="M60" s="77">
        <v>0</v>
      </c>
      <c r="O60" s="1" t="b">
        <f t="shared" si="0"/>
        <v>1</v>
      </c>
      <c r="P60" s="77">
        <v>0</v>
      </c>
      <c r="Q60" s="77">
        <v>0</v>
      </c>
    </row>
    <row r="61" spans="1:17" x14ac:dyDescent="0.25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>
        <v>1E-4</v>
      </c>
      <c r="M61" s="77">
        <v>1E-4</v>
      </c>
      <c r="O61" s="1" t="b">
        <f t="shared" si="0"/>
        <v>1</v>
      </c>
      <c r="P61" s="77">
        <v>1E-4</v>
      </c>
      <c r="Q61" s="77">
        <v>1E-4</v>
      </c>
    </row>
    <row r="62" spans="1:17" x14ac:dyDescent="0.25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>
        <v>1E-4</v>
      </c>
      <c r="M62" s="77">
        <v>1E-4</v>
      </c>
      <c r="O62" s="1" t="b">
        <f t="shared" si="0"/>
        <v>1</v>
      </c>
      <c r="P62" s="77">
        <v>1E-4</v>
      </c>
      <c r="Q62" s="77">
        <v>1E-4</v>
      </c>
    </row>
    <row r="63" spans="1:17" x14ac:dyDescent="0.25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>
        <v>6.9999999999999999E-4</v>
      </c>
      <c r="M63" s="77">
        <v>6.9999999999999999E-4</v>
      </c>
      <c r="O63" s="1" t="b">
        <f t="shared" si="0"/>
        <v>1</v>
      </c>
      <c r="P63" s="77">
        <v>6.9999999999999999E-4</v>
      </c>
      <c r="Q63" s="77">
        <v>6.9999999999999999E-4</v>
      </c>
    </row>
    <row r="64" spans="1:17" x14ac:dyDescent="0.25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>
        <v>1.22E-4</v>
      </c>
      <c r="M64" s="77">
        <v>1.22E-4</v>
      </c>
      <c r="O64" s="1" t="b">
        <f t="shared" si="0"/>
        <v>1</v>
      </c>
      <c r="P64" s="77">
        <v>1.22E-4</v>
      </c>
      <c r="Q64" s="77">
        <v>1.22E-4</v>
      </c>
    </row>
    <row r="65" spans="1:17" x14ac:dyDescent="0.25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>
        <v>1</v>
      </c>
      <c r="M65" s="77">
        <v>1</v>
      </c>
      <c r="O65" s="1" t="b">
        <f t="shared" si="0"/>
        <v>1</v>
      </c>
      <c r="P65" s="77">
        <v>1</v>
      </c>
      <c r="Q65" s="77">
        <v>1</v>
      </c>
    </row>
    <row r="66" spans="1:17" x14ac:dyDescent="0.25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>
        <v>0.95</v>
      </c>
      <c r="M66" s="77">
        <v>0.95</v>
      </c>
      <c r="O66" s="1" t="b">
        <f t="shared" si="0"/>
        <v>1</v>
      </c>
      <c r="P66" s="77">
        <v>0.95</v>
      </c>
      <c r="Q66" s="77">
        <v>0.95</v>
      </c>
    </row>
    <row r="67" spans="1:17" x14ac:dyDescent="0.25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 t="s">
        <v>88</v>
      </c>
      <c r="M67" s="77" t="s">
        <v>88</v>
      </c>
      <c r="O67" s="1" t="b">
        <f t="shared" ref="O67:O130" si="1">L67=M67</f>
        <v>1</v>
      </c>
      <c r="P67" s="77" t="s">
        <v>88</v>
      </c>
      <c r="Q67" s="77" t="s">
        <v>88</v>
      </c>
    </row>
    <row r="68" spans="1:17" x14ac:dyDescent="0.25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>
        <v>5</v>
      </c>
      <c r="M68" s="77">
        <v>5</v>
      </c>
      <c r="O68" s="1" t="b">
        <f t="shared" si="1"/>
        <v>1</v>
      </c>
      <c r="P68" s="77">
        <v>5</v>
      </c>
      <c r="Q68" s="77">
        <v>5</v>
      </c>
    </row>
    <row r="69" spans="1:17" x14ac:dyDescent="0.25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 t="s">
        <v>88</v>
      </c>
      <c r="M69" s="77" t="s">
        <v>88</v>
      </c>
      <c r="O69" s="1" t="b">
        <f t="shared" si="1"/>
        <v>1</v>
      </c>
      <c r="P69" s="77" t="s">
        <v>88</v>
      </c>
      <c r="Q69" s="77" t="s">
        <v>88</v>
      </c>
    </row>
    <row r="70" spans="1:17" x14ac:dyDescent="0.25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>
        <v>50</v>
      </c>
      <c r="M70" s="77">
        <v>50</v>
      </c>
      <c r="O70" s="1" t="b">
        <f t="shared" si="1"/>
        <v>1</v>
      </c>
      <c r="P70" s="77">
        <v>50</v>
      </c>
      <c r="Q70" s="77">
        <v>50</v>
      </c>
    </row>
    <row r="71" spans="1:17" x14ac:dyDescent="0.25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>
        <v>1453890.8941884842</v>
      </c>
      <c r="M71" s="78">
        <v>1453890.8941884842</v>
      </c>
      <c r="O71" s="1" t="b">
        <f t="shared" si="1"/>
        <v>1</v>
      </c>
      <c r="P71" s="78">
        <v>1453890.8941884842</v>
      </c>
      <c r="Q71" s="78">
        <v>1453890.8941884842</v>
      </c>
    </row>
    <row r="72" spans="1:17" x14ac:dyDescent="0.25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>
        <v>1.3888888888888888E-5</v>
      </c>
      <c r="M72" s="78">
        <v>1.3888888888888888E-5</v>
      </c>
      <c r="O72" s="1" t="b">
        <f t="shared" si="1"/>
        <v>1</v>
      </c>
      <c r="P72" s="78">
        <v>1.3888888888888888E-5</v>
      </c>
      <c r="Q72" s="78">
        <v>1.3888888888888888E-5</v>
      </c>
    </row>
    <row r="73" spans="1:17" x14ac:dyDescent="0.25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>
        <v>6.5011574074074071E-4</v>
      </c>
      <c r="M73" s="79">
        <v>6.5011574074074071E-4</v>
      </c>
      <c r="O73" s="1" t="b">
        <f t="shared" si="1"/>
        <v>1</v>
      </c>
      <c r="P73" s="79">
        <v>6.5011574074074071E-4</v>
      </c>
      <c r="Q73" s="79">
        <v>6.5011574074074071E-4</v>
      </c>
    </row>
    <row r="74" spans="1:17" x14ac:dyDescent="0.25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>
        <v>4.7400000000000003E-3</v>
      </c>
      <c r="M74" s="85">
        <v>4.7400000000000003E-3</v>
      </c>
      <c r="O74" s="1" t="b">
        <f t="shared" si="1"/>
        <v>1</v>
      </c>
      <c r="P74" s="85">
        <v>4.7400000000000003E-3</v>
      </c>
      <c r="Q74" s="85">
        <v>4.7400000000000003E-3</v>
      </c>
    </row>
    <row r="75" spans="1:17" x14ac:dyDescent="0.25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>
        <f>282528</f>
        <v>282528</v>
      </c>
      <c r="M75" s="79">
        <v>282528</v>
      </c>
      <c r="O75" s="1" t="b">
        <f t="shared" si="1"/>
        <v>1</v>
      </c>
      <c r="P75" s="79">
        <v>282528</v>
      </c>
      <c r="Q75" s="79">
        <v>282528</v>
      </c>
    </row>
    <row r="76" spans="1:17" x14ac:dyDescent="0.25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>
        <v>0.56999999999999995</v>
      </c>
      <c r="M76" s="85">
        <v>0.56999999999999995</v>
      </c>
      <c r="O76" s="1" t="b">
        <f t="shared" si="1"/>
        <v>1</v>
      </c>
      <c r="P76" s="85">
        <v>0.56999999999999995</v>
      </c>
      <c r="Q76" s="85">
        <v>0.56999999999999995</v>
      </c>
    </row>
    <row r="77" spans="1:17" x14ac:dyDescent="0.25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>
        <v>0.16</v>
      </c>
      <c r="M77" s="87">
        <v>0.16</v>
      </c>
      <c r="O77" s="1" t="b">
        <f t="shared" si="1"/>
        <v>1</v>
      </c>
      <c r="P77" s="87">
        <v>0.16</v>
      </c>
      <c r="Q77" s="87">
        <v>0.16</v>
      </c>
    </row>
    <row r="78" spans="1:17" x14ac:dyDescent="0.25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O78" s="1" t="b">
        <f t="shared" si="1"/>
        <v>1</v>
      </c>
      <c r="P78" s="77">
        <v>0</v>
      </c>
      <c r="Q78" s="77">
        <v>0</v>
      </c>
    </row>
    <row r="79" spans="1:17" x14ac:dyDescent="0.25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>
        <v>745476480000</v>
      </c>
      <c r="M79" s="78">
        <v>745476480000</v>
      </c>
      <c r="O79" s="1" t="b">
        <f t="shared" si="1"/>
        <v>1</v>
      </c>
      <c r="P79" s="78">
        <v>745476480000</v>
      </c>
      <c r="Q79" s="78">
        <v>745476480000</v>
      </c>
    </row>
    <row r="80" spans="1:17" x14ac:dyDescent="0.25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>
        <v>100</v>
      </c>
      <c r="M80" s="77">
        <v>100</v>
      </c>
      <c r="O80" s="1" t="b">
        <f t="shared" si="1"/>
        <v>1</v>
      </c>
      <c r="P80" s="77">
        <v>100</v>
      </c>
      <c r="Q80" s="77">
        <v>100</v>
      </c>
    </row>
    <row r="81" spans="1:17" x14ac:dyDescent="0.25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 t="s">
        <v>87</v>
      </c>
      <c r="M81" s="77" t="s">
        <v>87</v>
      </c>
      <c r="O81" s="1" t="b">
        <f t="shared" si="1"/>
        <v>1</v>
      </c>
      <c r="P81" s="77" t="s">
        <v>88</v>
      </c>
      <c r="Q81" s="77" t="s">
        <v>88</v>
      </c>
    </row>
    <row r="82" spans="1:17" x14ac:dyDescent="0.25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>
        <v>21600</v>
      </c>
      <c r="M82" s="85">
        <v>21600</v>
      </c>
      <c r="O82" s="1" t="b">
        <f t="shared" si="1"/>
        <v>1</v>
      </c>
      <c r="P82" s="85">
        <v>21600</v>
      </c>
      <c r="Q82" s="85">
        <v>21600</v>
      </c>
    </row>
    <row r="83" spans="1:17" x14ac:dyDescent="0.25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>
        <v>0.5</v>
      </c>
      <c r="M83" s="77">
        <v>0.5</v>
      </c>
      <c r="O83" s="1" t="b">
        <f t="shared" si="1"/>
        <v>1</v>
      </c>
      <c r="P83" s="77">
        <v>0.5</v>
      </c>
      <c r="Q83" s="77">
        <v>0.5</v>
      </c>
    </row>
    <row r="84" spans="1:17" x14ac:dyDescent="0.25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>
        <v>60479.999999999993</v>
      </c>
      <c r="M84" s="85">
        <v>60479.999999999993</v>
      </c>
      <c r="O84" s="1" t="b">
        <f t="shared" si="1"/>
        <v>1</v>
      </c>
      <c r="P84" s="85">
        <v>60479.999999999993</v>
      </c>
      <c r="Q84" s="85">
        <v>60479.999999999993</v>
      </c>
    </row>
    <row r="85" spans="1:17" x14ac:dyDescent="0.25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>
        <v>0.85</v>
      </c>
      <c r="M85" s="77">
        <v>0.85</v>
      </c>
      <c r="O85" s="1" t="b">
        <f t="shared" si="1"/>
        <v>1</v>
      </c>
      <c r="P85" s="77">
        <v>0.85</v>
      </c>
      <c r="Q85" s="77">
        <v>0.85</v>
      </c>
    </row>
    <row r="86" spans="1:17" x14ac:dyDescent="0.25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>
        <v>518400</v>
      </c>
      <c r="M86" s="77">
        <v>518400</v>
      </c>
      <c r="O86" s="1" t="b">
        <f t="shared" si="1"/>
        <v>1</v>
      </c>
      <c r="P86" s="77">
        <v>518400</v>
      </c>
      <c r="Q86" s="77">
        <v>518400</v>
      </c>
    </row>
    <row r="87" spans="1:17" x14ac:dyDescent="0.25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>
        <v>5184000</v>
      </c>
      <c r="M87" s="77">
        <v>5184000</v>
      </c>
      <c r="O87" s="1" t="b">
        <f t="shared" si="1"/>
        <v>1</v>
      </c>
      <c r="P87" s="77">
        <v>5184000</v>
      </c>
      <c r="Q87" s="77">
        <v>5184000</v>
      </c>
    </row>
    <row r="88" spans="1:17" x14ac:dyDescent="0.25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>
        <v>50000</v>
      </c>
      <c r="M88" s="86">
        <v>50000</v>
      </c>
      <c r="O88" s="1" t="b">
        <f t="shared" si="1"/>
        <v>1</v>
      </c>
      <c r="P88" s="86">
        <v>50000</v>
      </c>
      <c r="Q88" s="86">
        <v>50000</v>
      </c>
    </row>
    <row r="89" spans="1:17" x14ac:dyDescent="0.25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>
        <v>140000</v>
      </c>
      <c r="M89" s="77">
        <v>140000</v>
      </c>
      <c r="O89" s="1" t="b">
        <f t="shared" si="1"/>
        <v>1</v>
      </c>
      <c r="P89" s="77">
        <v>140000</v>
      </c>
      <c r="Q89" s="77">
        <v>140000</v>
      </c>
    </row>
    <row r="90" spans="1:17" x14ac:dyDescent="0.25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>
        <v>3.6636136999999999E-2</v>
      </c>
      <c r="M90" s="78">
        <v>3.6636136999999999E-2</v>
      </c>
      <c r="O90" s="1" t="b">
        <f t="shared" si="1"/>
        <v>1</v>
      </c>
      <c r="P90" s="78">
        <v>3.6636136999999999E-2</v>
      </c>
      <c r="Q90" s="78">
        <v>3.6636136999999999E-2</v>
      </c>
    </row>
    <row r="91" spans="1:17" x14ac:dyDescent="0.25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>
        <v>4.4999999999999997E-3</v>
      </c>
      <c r="M91" s="77">
        <v>4.4999999999999997E-3</v>
      </c>
      <c r="O91" s="1" t="b">
        <f t="shared" si="1"/>
        <v>1</v>
      </c>
      <c r="P91" s="77">
        <v>4.4999999999999997E-3</v>
      </c>
      <c r="Q91" s="77">
        <v>4.4999999999999997E-3</v>
      </c>
    </row>
    <row r="92" spans="1:17" x14ac:dyDescent="0.25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>
        <v>0.05</v>
      </c>
      <c r="M92" s="77">
        <v>0.05</v>
      </c>
      <c r="O92" s="1" t="b">
        <f t="shared" si="1"/>
        <v>1</v>
      </c>
      <c r="P92" s="77">
        <v>0.05</v>
      </c>
      <c r="Q92" s="77">
        <v>0.05</v>
      </c>
    </row>
    <row r="93" spans="1:17" x14ac:dyDescent="0.25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>
        <v>6.0000000000000002E-6</v>
      </c>
      <c r="M93" s="77">
        <v>6.0000000000000002E-6</v>
      </c>
      <c r="O93" s="1" t="b">
        <f t="shared" si="1"/>
        <v>1</v>
      </c>
      <c r="P93" s="77">
        <v>6.0000000000000002E-6</v>
      </c>
      <c r="Q93" s="77">
        <v>6.0000000000000002E-6</v>
      </c>
    </row>
    <row r="94" spans="1:17" x14ac:dyDescent="0.25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>
        <v>1E-3</v>
      </c>
      <c r="M94" s="77">
        <v>1E-3</v>
      </c>
      <c r="O94" s="1" t="b">
        <f t="shared" si="1"/>
        <v>1</v>
      </c>
      <c r="P94" s="77">
        <v>0</v>
      </c>
      <c r="Q94" s="77">
        <v>0</v>
      </c>
    </row>
    <row r="95" spans="1:17" x14ac:dyDescent="0.25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>
        <v>374999999.99999994</v>
      </c>
      <c r="M95" s="77">
        <v>374999999.99999994</v>
      </c>
      <c r="O95" s="1" t="b">
        <f t="shared" si="1"/>
        <v>1</v>
      </c>
      <c r="P95" s="77">
        <v>374999999.99999994</v>
      </c>
      <c r="Q95" s="77">
        <v>374999999.99999994</v>
      </c>
    </row>
    <row r="96" spans="1:17" x14ac:dyDescent="0.25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>
        <v>3.7037037037037038E-3</v>
      </c>
      <c r="M96" s="78">
        <v>3.7037037037037038E-3</v>
      </c>
      <c r="O96" s="1" t="b">
        <f t="shared" si="1"/>
        <v>1</v>
      </c>
      <c r="P96" s="78">
        <v>3.7037037037037038E-3</v>
      </c>
      <c r="Q96" s="78">
        <v>3.7037037037037038E-3</v>
      </c>
    </row>
    <row r="97" spans="1:17" x14ac:dyDescent="0.25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>
        <v>165600</v>
      </c>
      <c r="M97" s="77">
        <v>165600</v>
      </c>
      <c r="O97" s="1" t="b">
        <f t="shared" si="1"/>
        <v>1</v>
      </c>
      <c r="P97" s="77">
        <v>165600</v>
      </c>
      <c r="Q97" s="77">
        <v>165600</v>
      </c>
    </row>
    <row r="98" spans="1:17" x14ac:dyDescent="0.25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>
        <v>20</v>
      </c>
      <c r="M98" s="77">
        <v>20</v>
      </c>
      <c r="O98" s="1" t="b">
        <f t="shared" si="1"/>
        <v>1</v>
      </c>
      <c r="P98" s="77">
        <v>20</v>
      </c>
      <c r="Q98" s="77">
        <v>20</v>
      </c>
    </row>
    <row r="99" spans="1:17" x14ac:dyDescent="0.25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>
        <v>1</v>
      </c>
      <c r="M99" s="77">
        <v>1</v>
      </c>
      <c r="O99" s="1" t="b">
        <f t="shared" si="1"/>
        <v>1</v>
      </c>
      <c r="P99" s="77">
        <v>1</v>
      </c>
      <c r="Q99" s="77">
        <v>1</v>
      </c>
    </row>
    <row r="100" spans="1:17" x14ac:dyDescent="0.25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>
        <v>21</v>
      </c>
      <c r="M100" s="77">
        <v>21</v>
      </c>
      <c r="O100" s="1" t="b">
        <f t="shared" si="1"/>
        <v>1</v>
      </c>
      <c r="P100" s="77">
        <v>21</v>
      </c>
      <c r="Q100" s="77">
        <v>21</v>
      </c>
    </row>
    <row r="101" spans="1:17" x14ac:dyDescent="0.25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>
        <v>0.64</v>
      </c>
      <c r="M101" s="77">
        <v>0.64</v>
      </c>
      <c r="O101" s="1" t="b">
        <f t="shared" si="1"/>
        <v>1</v>
      </c>
      <c r="P101" s="77">
        <v>0.64</v>
      </c>
      <c r="Q101" s="77">
        <v>0.64</v>
      </c>
    </row>
    <row r="102" spans="1:17" x14ac:dyDescent="0.25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>
        <v>8</v>
      </c>
      <c r="M102" s="77">
        <v>8</v>
      </c>
      <c r="O102" s="1" t="b">
        <f t="shared" si="1"/>
        <v>1</v>
      </c>
      <c r="P102" s="77">
        <v>8</v>
      </c>
      <c r="Q102" s="77">
        <v>8</v>
      </c>
    </row>
    <row r="103" spans="1:17" x14ac:dyDescent="0.25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>
        <v>10</v>
      </c>
      <c r="M103" s="77">
        <v>10</v>
      </c>
      <c r="O103" s="1" t="b">
        <f t="shared" si="1"/>
        <v>1</v>
      </c>
      <c r="P103" s="77">
        <v>10</v>
      </c>
      <c r="Q103" s="77">
        <v>10</v>
      </c>
    </row>
    <row r="104" spans="1:17" x14ac:dyDescent="0.25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>
        <v>8</v>
      </c>
      <c r="M104" s="77">
        <v>8</v>
      </c>
      <c r="O104" s="1" t="b">
        <f t="shared" si="1"/>
        <v>1</v>
      </c>
      <c r="P104" s="77">
        <v>8</v>
      </c>
      <c r="Q104" s="77">
        <v>8</v>
      </c>
    </row>
    <row r="105" spans="1:17" x14ac:dyDescent="0.25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>
        <v>1</v>
      </c>
      <c r="M105" s="77">
        <v>1</v>
      </c>
      <c r="O105" s="1" t="b">
        <f t="shared" si="1"/>
        <v>1</v>
      </c>
      <c r="P105" s="77">
        <v>1</v>
      </c>
      <c r="Q105" s="77">
        <v>1</v>
      </c>
    </row>
    <row r="106" spans="1:17" x14ac:dyDescent="0.25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>
        <v>0.5</v>
      </c>
      <c r="M106" s="77">
        <v>0.5</v>
      </c>
      <c r="O106" s="1" t="b">
        <f t="shared" si="1"/>
        <v>1</v>
      </c>
      <c r="P106" s="77">
        <v>0.5</v>
      </c>
      <c r="Q106" s="77">
        <v>0.5</v>
      </c>
    </row>
    <row r="107" spans="1:17" x14ac:dyDescent="0.25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 t="shared" ref="G107:L107" si="2">G105</f>
        <v>1</v>
      </c>
      <c r="H107" s="58">
        <f t="shared" si="2"/>
        <v>1</v>
      </c>
      <c r="I107" s="58">
        <f t="shared" si="2"/>
        <v>1</v>
      </c>
      <c r="J107" s="58">
        <f t="shared" si="2"/>
        <v>1</v>
      </c>
      <c r="K107" s="58">
        <f t="shared" ref="K107" si="3">K105</f>
        <v>1</v>
      </c>
      <c r="L107" s="58">
        <f t="shared" si="2"/>
        <v>1</v>
      </c>
      <c r="M107" s="58">
        <f t="shared" ref="M107" si="4">M105</f>
        <v>1</v>
      </c>
      <c r="O107" s="1" t="b">
        <f t="shared" si="1"/>
        <v>1</v>
      </c>
      <c r="P107" s="58">
        <v>1</v>
      </c>
      <c r="Q107" s="58">
        <v>1</v>
      </c>
    </row>
    <row r="108" spans="1:17" x14ac:dyDescent="0.25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 t="shared" ref="H108:M108" si="5">150*H105</f>
        <v>150</v>
      </c>
      <c r="I108" s="58">
        <f t="shared" si="5"/>
        <v>150</v>
      </c>
      <c r="J108" s="58">
        <f t="shared" si="5"/>
        <v>150</v>
      </c>
      <c r="K108" s="58">
        <f t="shared" si="5"/>
        <v>150</v>
      </c>
      <c r="L108" s="58">
        <f t="shared" si="5"/>
        <v>150</v>
      </c>
      <c r="M108" s="58">
        <f t="shared" si="5"/>
        <v>150</v>
      </c>
      <c r="O108" s="1" t="b">
        <f t="shared" si="1"/>
        <v>1</v>
      </c>
      <c r="P108" s="58">
        <v>150</v>
      </c>
      <c r="Q108" s="58">
        <v>150</v>
      </c>
    </row>
    <row r="109" spans="1:17" x14ac:dyDescent="0.25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 t="shared" ref="G109:L109" si="6">G100</f>
        <v>21</v>
      </c>
      <c r="H109" s="58">
        <f t="shared" si="6"/>
        <v>21</v>
      </c>
      <c r="I109" s="58">
        <f t="shared" si="6"/>
        <v>21</v>
      </c>
      <c r="J109" s="58">
        <f t="shared" si="6"/>
        <v>21</v>
      </c>
      <c r="K109" s="58">
        <f t="shared" ref="K109" si="7">K100</f>
        <v>21</v>
      </c>
      <c r="L109" s="58">
        <f t="shared" si="6"/>
        <v>21</v>
      </c>
      <c r="M109" s="58">
        <f t="shared" ref="M109" si="8">M100</f>
        <v>21</v>
      </c>
      <c r="O109" s="1" t="b">
        <f t="shared" si="1"/>
        <v>1</v>
      </c>
      <c r="P109" s="58">
        <v>21</v>
      </c>
      <c r="Q109" s="58">
        <v>21</v>
      </c>
    </row>
    <row r="110" spans="1:17" x14ac:dyDescent="0.25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 t="shared" ref="H110:M110" si="9">70*H100</f>
        <v>1470</v>
      </c>
      <c r="I110" s="58">
        <f t="shared" si="9"/>
        <v>1470</v>
      </c>
      <c r="J110" s="58">
        <f t="shared" si="9"/>
        <v>1470</v>
      </c>
      <c r="K110" s="58">
        <f t="shared" si="9"/>
        <v>1470</v>
      </c>
      <c r="L110" s="58">
        <f t="shared" si="9"/>
        <v>1470</v>
      </c>
      <c r="M110" s="58">
        <f t="shared" si="9"/>
        <v>1470</v>
      </c>
      <c r="O110" s="1" t="b">
        <f t="shared" si="1"/>
        <v>1</v>
      </c>
      <c r="P110" s="58">
        <v>1470</v>
      </c>
      <c r="Q110" s="58">
        <v>1470</v>
      </c>
    </row>
    <row r="111" spans="1:17" x14ac:dyDescent="0.25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>
        <v>0</v>
      </c>
      <c r="M111" s="77">
        <v>0</v>
      </c>
      <c r="O111" s="1" t="b">
        <f t="shared" si="1"/>
        <v>1</v>
      </c>
      <c r="P111" s="77">
        <v>0</v>
      </c>
      <c r="Q111" s="77">
        <v>0</v>
      </c>
    </row>
    <row r="112" spans="1:17" x14ac:dyDescent="0.25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>
        <v>1589759.9999999998</v>
      </c>
      <c r="M112" s="82">
        <v>1589759.9999999998</v>
      </c>
      <c r="O112" s="1" t="b">
        <f t="shared" si="1"/>
        <v>1</v>
      </c>
      <c r="P112" s="82">
        <v>1589759.9999999998</v>
      </c>
      <c r="Q112" s="82">
        <v>1589759.9999999998</v>
      </c>
    </row>
    <row r="113" spans="1:17" x14ac:dyDescent="0.25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>
        <v>6171428.5714285718</v>
      </c>
      <c r="M113" s="82">
        <v>6171428.5714285718</v>
      </c>
      <c r="O113" s="1" t="b">
        <f t="shared" si="1"/>
        <v>1</v>
      </c>
      <c r="P113" s="82">
        <v>6171428.5714285718</v>
      </c>
      <c r="Q113" s="82">
        <v>6171428.5714285718</v>
      </c>
    </row>
    <row r="114" spans="1:17" x14ac:dyDescent="0.25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>
        <v>6171428.5714285718</v>
      </c>
      <c r="M114" s="82">
        <v>6171428.5714285718</v>
      </c>
      <c r="O114" s="1" t="b">
        <f t="shared" si="1"/>
        <v>1</v>
      </c>
      <c r="P114" s="82">
        <v>6171428.5714285718</v>
      </c>
      <c r="Q114" s="82">
        <v>6171428.5714285718</v>
      </c>
    </row>
    <row r="115" spans="1:17" x14ac:dyDescent="0.25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>
        <v>100</v>
      </c>
      <c r="M115" s="82">
        <v>100</v>
      </c>
      <c r="O115" s="1" t="b">
        <f t="shared" si="1"/>
        <v>1</v>
      </c>
      <c r="P115" s="82">
        <v>100</v>
      </c>
      <c r="Q115" s="82">
        <v>100</v>
      </c>
    </row>
    <row r="116" spans="1:17" ht="14.45" customHeight="1" x14ac:dyDescent="0.25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 t="shared" ref="H116:M116" si="10">0.1 * 3.25 * (60*60*24)</f>
        <v>28080</v>
      </c>
      <c r="I116" s="67">
        <f t="shared" si="10"/>
        <v>28080</v>
      </c>
      <c r="J116" s="67">
        <f t="shared" si="10"/>
        <v>28080</v>
      </c>
      <c r="K116" s="67">
        <f t="shared" si="10"/>
        <v>28080</v>
      </c>
      <c r="L116" s="67">
        <f t="shared" si="10"/>
        <v>28080</v>
      </c>
      <c r="M116" s="67">
        <f t="shared" si="10"/>
        <v>28080</v>
      </c>
      <c r="O116" s="1" t="b">
        <f t="shared" si="1"/>
        <v>1</v>
      </c>
      <c r="P116" s="67">
        <v>28080</v>
      </c>
      <c r="Q116" s="67">
        <v>28080</v>
      </c>
    </row>
    <row r="117" spans="1:17" x14ac:dyDescent="0.25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 t="shared" ref="H117:M117" si="11">1.11 / 10</f>
        <v>0.11100000000000002</v>
      </c>
      <c r="I117" s="67">
        <f t="shared" si="11"/>
        <v>0.11100000000000002</v>
      </c>
      <c r="J117" s="67">
        <f t="shared" si="11"/>
        <v>0.11100000000000002</v>
      </c>
      <c r="K117" s="67">
        <f t="shared" si="11"/>
        <v>0.11100000000000002</v>
      </c>
      <c r="L117" s="67">
        <f t="shared" si="11"/>
        <v>0.11100000000000002</v>
      </c>
      <c r="M117" s="67">
        <f t="shared" si="11"/>
        <v>0.11100000000000002</v>
      </c>
      <c r="O117" s="1" t="b">
        <f t="shared" si="1"/>
        <v>1</v>
      </c>
      <c r="P117" s="67">
        <v>0.11100000000000002</v>
      </c>
      <c r="Q117" s="67">
        <v>0.11100000000000002</v>
      </c>
    </row>
    <row r="118" spans="1:17" x14ac:dyDescent="0.25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>
        <v>100</v>
      </c>
      <c r="M118" s="82">
        <v>100</v>
      </c>
      <c r="O118" s="1" t="b">
        <f t="shared" si="1"/>
        <v>1</v>
      </c>
      <c r="P118" s="82">
        <v>100</v>
      </c>
      <c r="Q118" s="82">
        <v>100</v>
      </c>
    </row>
    <row r="119" spans="1:17" ht="14.45" customHeight="1" x14ac:dyDescent="0.25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 t="shared" ref="G119:M119" si="12">5.32 * (60*60*24)</f>
        <v>459648</v>
      </c>
      <c r="H119" s="67">
        <f t="shared" si="12"/>
        <v>459648</v>
      </c>
      <c r="I119" s="67">
        <f t="shared" si="12"/>
        <v>459648</v>
      </c>
      <c r="J119" s="67">
        <f t="shared" si="12"/>
        <v>459648</v>
      </c>
      <c r="K119" s="67">
        <f t="shared" si="12"/>
        <v>459648</v>
      </c>
      <c r="L119" s="67">
        <f t="shared" si="12"/>
        <v>459648</v>
      </c>
      <c r="M119" s="67">
        <f t="shared" si="12"/>
        <v>459648</v>
      </c>
      <c r="O119" s="1" t="b">
        <f t="shared" si="1"/>
        <v>1</v>
      </c>
      <c r="P119" s="67">
        <v>459648</v>
      </c>
      <c r="Q119" s="67">
        <v>459648</v>
      </c>
    </row>
    <row r="120" spans="1:17" x14ac:dyDescent="0.25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 t="shared" ref="H120:M120" si="13">1.11/8</f>
        <v>0.13875000000000001</v>
      </c>
      <c r="I120" s="67">
        <f t="shared" si="13"/>
        <v>0.13875000000000001</v>
      </c>
      <c r="J120" s="67">
        <f t="shared" si="13"/>
        <v>0.13875000000000001</v>
      </c>
      <c r="K120" s="67">
        <f t="shared" si="13"/>
        <v>0.13875000000000001</v>
      </c>
      <c r="L120" s="67">
        <f t="shared" si="13"/>
        <v>0.13875000000000001</v>
      </c>
      <c r="M120" s="67">
        <f t="shared" si="13"/>
        <v>0.13875000000000001</v>
      </c>
      <c r="O120" s="1" t="b">
        <f t="shared" si="1"/>
        <v>1</v>
      </c>
      <c r="P120" s="67">
        <v>0.13875000000000001</v>
      </c>
      <c r="Q120" s="67">
        <v>0.13875000000000001</v>
      </c>
    </row>
    <row r="121" spans="1:17" x14ac:dyDescent="0.25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L121" s="82">
        <v>21600</v>
      </c>
      <c r="M121" s="82">
        <v>21600</v>
      </c>
      <c r="O121" s="1" t="b">
        <f t="shared" si="1"/>
        <v>1</v>
      </c>
      <c r="P121" s="82">
        <v>21600</v>
      </c>
      <c r="Q121" s="82">
        <v>21600</v>
      </c>
    </row>
    <row r="122" spans="1:17" x14ac:dyDescent="0.25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L122" s="88">
        <v>43200</v>
      </c>
      <c r="M122" s="88">
        <v>43200</v>
      </c>
      <c r="O122" s="1" t="b">
        <f t="shared" si="1"/>
        <v>1</v>
      </c>
      <c r="P122" s="88">
        <v>43200</v>
      </c>
      <c r="Q122" s="88">
        <v>43200</v>
      </c>
    </row>
    <row r="123" spans="1:17" x14ac:dyDescent="0.25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L123" s="77">
        <v>0.8</v>
      </c>
      <c r="M123" s="77">
        <v>0.8</v>
      </c>
      <c r="O123" s="1" t="b">
        <f t="shared" si="1"/>
        <v>1</v>
      </c>
      <c r="P123" s="77">
        <v>0.8</v>
      </c>
      <c r="Q123" s="77">
        <v>0.8</v>
      </c>
    </row>
    <row r="124" spans="1:17" x14ac:dyDescent="0.25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L124" s="78">
        <v>2.0833333333333335E-4</v>
      </c>
      <c r="M124" s="78">
        <v>2.0833333333333335E-4</v>
      </c>
      <c r="O124" s="1" t="b">
        <f t="shared" si="1"/>
        <v>1</v>
      </c>
      <c r="P124" s="78">
        <v>2.0833333333333335E-4</v>
      </c>
      <c r="Q124" s="78">
        <v>2.0833333333333335E-4</v>
      </c>
    </row>
    <row r="125" spans="1:17" x14ac:dyDescent="0.25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L125" s="77">
        <v>5.7899999999999998E-7</v>
      </c>
      <c r="M125" s="77">
        <v>5.7899999999999998E-7</v>
      </c>
      <c r="O125" s="1" t="b">
        <f t="shared" si="1"/>
        <v>1</v>
      </c>
      <c r="P125" s="77">
        <v>5.7899999999999998E-7</v>
      </c>
      <c r="Q125" s="77">
        <v>5.7899999999999998E-7</v>
      </c>
    </row>
    <row r="126" spans="1:17" x14ac:dyDescent="0.25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>
        <v>2.0833333333333335E-4</v>
      </c>
      <c r="M126" s="78">
        <v>2.0833333333333335E-4</v>
      </c>
      <c r="O126" s="1" t="b">
        <f t="shared" si="1"/>
        <v>1</v>
      </c>
      <c r="P126" s="78">
        <v>2.0833333333333335E-4</v>
      </c>
      <c r="Q126" s="78">
        <v>2.0833333333333335E-4</v>
      </c>
    </row>
    <row r="127" spans="1:17" x14ac:dyDescent="0.25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L127" s="78">
        <v>0</v>
      </c>
      <c r="M127" s="78">
        <v>0</v>
      </c>
      <c r="O127" s="1" t="b">
        <f t="shared" si="1"/>
        <v>1</v>
      </c>
      <c r="P127" s="78">
        <v>0</v>
      </c>
      <c r="Q127" s="78">
        <v>0</v>
      </c>
    </row>
    <row r="128" spans="1:17" x14ac:dyDescent="0.25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L128" s="78">
        <v>0</v>
      </c>
      <c r="M128" s="78">
        <v>0</v>
      </c>
      <c r="O128" s="1" t="b">
        <f t="shared" si="1"/>
        <v>1</v>
      </c>
      <c r="P128" s="78">
        <v>0</v>
      </c>
      <c r="Q128" s="78">
        <v>0</v>
      </c>
    </row>
    <row r="129" spans="1:17" x14ac:dyDescent="0.25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Q129" si="14">0.0000002*3</f>
        <v>5.9999999999999997E-7</v>
      </c>
      <c r="J129" s="83">
        <f t="shared" si="14"/>
        <v>5.9999999999999997E-7</v>
      </c>
      <c r="K129" s="83">
        <f>0.0000002 * 2 / 10</f>
        <v>4.0000000000000001E-8</v>
      </c>
      <c r="L129" s="83">
        <f>0.0000002 * 2 / 1000</f>
        <v>3.9999999999999996E-10</v>
      </c>
      <c r="M129" s="83">
        <v>0</v>
      </c>
      <c r="N129" s="83">
        <f>0.0000002 * 2 / 10</f>
        <v>4.0000000000000001E-8</v>
      </c>
      <c r="O129" s="1" t="b">
        <f t="shared" si="1"/>
        <v>0</v>
      </c>
      <c r="P129" s="83">
        <f t="shared" si="14"/>
        <v>5.9999999999999997E-7</v>
      </c>
      <c r="Q129" s="83">
        <f t="shared" si="14"/>
        <v>5.9999999999999997E-7</v>
      </c>
    </row>
    <row r="130" spans="1:17" x14ac:dyDescent="0.25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Q130" si="15">1000 * 0.000001 / 12</f>
        <v>8.3333333333333331E-5</v>
      </c>
      <c r="I130" s="83">
        <f t="shared" si="15"/>
        <v>8.3333333333333331E-5</v>
      </c>
      <c r="J130" s="83">
        <f t="shared" si="15"/>
        <v>8.3333333333333331E-5</v>
      </c>
      <c r="K130" s="83">
        <f t="shared" si="15"/>
        <v>8.3333333333333331E-5</v>
      </c>
      <c r="L130" s="83">
        <f t="shared" si="15"/>
        <v>8.3333333333333331E-5</v>
      </c>
      <c r="M130" s="83">
        <f t="shared" si="15"/>
        <v>8.3333333333333331E-5</v>
      </c>
      <c r="O130" s="1" t="b">
        <f t="shared" si="1"/>
        <v>1</v>
      </c>
      <c r="P130" s="83">
        <f t="shared" si="15"/>
        <v>8.3333333333333331E-5</v>
      </c>
      <c r="Q130" s="83">
        <f t="shared" si="15"/>
        <v>8.3333333333333331E-5</v>
      </c>
    </row>
    <row r="131" spans="1:17" x14ac:dyDescent="0.25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L131" s="89" t="s">
        <v>533</v>
      </c>
      <c r="M131" s="89" t="s">
        <v>533</v>
      </c>
      <c r="O131" s="1" t="b">
        <f t="shared" ref="O131:O194" si="16">L131=M131</f>
        <v>1</v>
      </c>
      <c r="P131" s="89" t="s">
        <v>533</v>
      </c>
      <c r="Q131" s="89" t="s">
        <v>533</v>
      </c>
    </row>
    <row r="132" spans="1:17" x14ac:dyDescent="0.25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f>0.0005 * 1.2</f>
        <v>5.9999999999999995E-4</v>
      </c>
      <c r="L132" s="83">
        <f>0.0005 / 10</f>
        <v>5.0000000000000002E-5</v>
      </c>
      <c r="M132" s="83">
        <f>0.0005</f>
        <v>5.0000000000000001E-4</v>
      </c>
      <c r="N132" s="83">
        <f>0.0005 * 1.2</f>
        <v>5.9999999999999995E-4</v>
      </c>
      <c r="O132" s="1" t="b">
        <f t="shared" si="16"/>
        <v>0</v>
      </c>
      <c r="P132" s="83">
        <v>5.0000000000000001E-4</v>
      </c>
      <c r="Q132" s="83">
        <v>5.0000000000000001E-4</v>
      </c>
    </row>
    <row r="133" spans="1:17" x14ac:dyDescent="0.25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L133" s="83">
        <v>4.9999999999999999E-13</v>
      </c>
      <c r="M133" s="83">
        <v>4.9999999999999999E-13</v>
      </c>
      <c r="O133" s="1" t="b">
        <f t="shared" si="16"/>
        <v>1</v>
      </c>
      <c r="P133" s="83">
        <v>4.9999999999999999E-13</v>
      </c>
      <c r="Q133" s="83">
        <v>4.9999999999999999E-13</v>
      </c>
    </row>
    <row r="134" spans="1:17" x14ac:dyDescent="0.25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L134" s="77">
        <v>10</v>
      </c>
      <c r="M134" s="77">
        <v>10</v>
      </c>
      <c r="O134" s="1" t="b">
        <f t="shared" si="16"/>
        <v>1</v>
      </c>
      <c r="P134" s="77">
        <v>10</v>
      </c>
      <c r="Q134" s="77">
        <v>10</v>
      </c>
    </row>
    <row r="135" spans="1:17" x14ac:dyDescent="0.25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L135" s="77">
        <v>-0.04</v>
      </c>
      <c r="M135" s="77">
        <v>-0.04</v>
      </c>
      <c r="O135" s="1" t="b">
        <f t="shared" si="16"/>
        <v>1</v>
      </c>
      <c r="P135" s="77">
        <v>-0.04</v>
      </c>
      <c r="Q135" s="77">
        <v>-0.04</v>
      </c>
    </row>
    <row r="136" spans="1:17" x14ac:dyDescent="0.25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L136" s="77">
        <v>2.9</v>
      </c>
      <c r="M136" s="77">
        <v>2.9</v>
      </c>
      <c r="O136" s="1" t="b">
        <f t="shared" si="16"/>
        <v>1</v>
      </c>
      <c r="P136" s="77">
        <v>2.9</v>
      </c>
      <c r="Q136" s="77">
        <v>2.9</v>
      </c>
    </row>
    <row r="137" spans="1:17" x14ac:dyDescent="0.25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L137" s="77">
        <v>1</v>
      </c>
      <c r="M137" s="77">
        <v>1</v>
      </c>
      <c r="O137" s="1" t="b">
        <f t="shared" si="16"/>
        <v>1</v>
      </c>
      <c r="P137" s="77">
        <v>1</v>
      </c>
      <c r="Q137" s="77">
        <v>1</v>
      </c>
    </row>
    <row r="138" spans="1:17" x14ac:dyDescent="0.25">
      <c r="A138" s="21" t="s">
        <v>574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f>0.0000002 * 2 / 10</f>
        <v>4.0000000000000001E-8</v>
      </c>
      <c r="L138" s="80">
        <f>0.0000002 * 2 / 10</f>
        <v>4.0000000000000001E-8</v>
      </c>
      <c r="M138" s="80">
        <v>1.9999999999999999E-7</v>
      </c>
      <c r="N138" s="80">
        <f>0.0000002 * 2 / 10</f>
        <v>4.0000000000000001E-8</v>
      </c>
      <c r="O138" s="1" t="b">
        <f t="shared" si="16"/>
        <v>0</v>
      </c>
      <c r="P138" s="80">
        <v>1.9999999999999999E-7</v>
      </c>
      <c r="Q138" s="80">
        <v>1.9999999999999999E-7</v>
      </c>
    </row>
    <row r="139" spans="1:17" x14ac:dyDescent="0.25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L139" s="77">
        <v>10</v>
      </c>
      <c r="M139" s="77">
        <v>10</v>
      </c>
      <c r="O139" s="1" t="b">
        <f t="shared" si="16"/>
        <v>1</v>
      </c>
      <c r="P139" s="77">
        <v>10</v>
      </c>
      <c r="Q139" s="77">
        <v>10</v>
      </c>
    </row>
    <row r="140" spans="1:17" x14ac:dyDescent="0.25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L140" s="77">
        <v>-0.04</v>
      </c>
      <c r="M140" s="77">
        <v>-0.04</v>
      </c>
      <c r="O140" s="1" t="b">
        <f t="shared" si="16"/>
        <v>1</v>
      </c>
      <c r="P140" s="77">
        <v>-0.04</v>
      </c>
      <c r="Q140" s="77">
        <v>-0.04</v>
      </c>
    </row>
    <row r="141" spans="1:17" x14ac:dyDescent="0.25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L141" s="77">
        <v>2.9</v>
      </c>
      <c r="M141" s="77">
        <v>2.9</v>
      </c>
      <c r="O141" s="1" t="b">
        <f t="shared" si="16"/>
        <v>1</v>
      </c>
      <c r="P141" s="77">
        <v>2.9</v>
      </c>
      <c r="Q141" s="77">
        <v>2.9</v>
      </c>
    </row>
    <row r="142" spans="1:17" x14ac:dyDescent="0.25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L142" s="77">
        <v>1</v>
      </c>
      <c r="M142" s="77">
        <v>1</v>
      </c>
      <c r="O142" s="1" t="b">
        <f t="shared" si="16"/>
        <v>1</v>
      </c>
      <c r="P142" s="77">
        <v>1</v>
      </c>
      <c r="Q142" s="77">
        <v>1</v>
      </c>
    </row>
    <row r="143" spans="1:17" x14ac:dyDescent="0.25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L143" s="77">
        <v>0</v>
      </c>
      <c r="M143" s="77">
        <v>0</v>
      </c>
      <c r="O143" s="1" t="b">
        <f t="shared" si="16"/>
        <v>1</v>
      </c>
      <c r="P143" s="77">
        <v>0</v>
      </c>
      <c r="Q143" s="77">
        <v>0</v>
      </c>
    </row>
    <row r="144" spans="1:17" x14ac:dyDescent="0.25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L144" s="80">
        <v>5.0000000000000004E-6</v>
      </c>
      <c r="M144" s="80">
        <v>5.0000000000000004E-6</v>
      </c>
      <c r="O144" s="1" t="b">
        <f t="shared" si="16"/>
        <v>1</v>
      </c>
      <c r="P144" s="80">
        <v>5.0000000000000004E-6</v>
      </c>
      <c r="Q144" s="80">
        <v>5.0000000000000004E-6</v>
      </c>
    </row>
    <row r="145" spans="1:17" x14ac:dyDescent="0.25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L145" s="77">
        <v>0</v>
      </c>
      <c r="M145" s="77">
        <v>0</v>
      </c>
      <c r="O145" s="1" t="b">
        <f t="shared" si="16"/>
        <v>1</v>
      </c>
      <c r="P145" s="77">
        <v>0</v>
      </c>
      <c r="Q145" s="77">
        <v>0</v>
      </c>
    </row>
    <row r="146" spans="1:17" x14ac:dyDescent="0.25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L146" s="77">
        <v>2E-3</v>
      </c>
      <c r="M146" s="77">
        <v>2E-3</v>
      </c>
      <c r="O146" s="1" t="b">
        <f t="shared" si="16"/>
        <v>1</v>
      </c>
      <c r="P146" s="77">
        <v>2E-3</v>
      </c>
      <c r="Q146" s="77">
        <v>2E-3</v>
      </c>
    </row>
    <row r="147" spans="1:17" x14ac:dyDescent="0.25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L147" s="80">
        <v>3.9999999999999998E-6</v>
      </c>
      <c r="M147" s="80">
        <v>3.9999999999999998E-6</v>
      </c>
      <c r="O147" s="1" t="b">
        <f t="shared" si="16"/>
        <v>1</v>
      </c>
      <c r="P147" s="80">
        <v>3.9999999999999998E-6</v>
      </c>
      <c r="Q147" s="80">
        <v>3.9999999999999998E-6</v>
      </c>
    </row>
    <row r="148" spans="1:17" x14ac:dyDescent="0.25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L148" s="80">
        <v>3.7699999999999999E-10</v>
      </c>
      <c r="M148" s="80">
        <v>3.7699999999999999E-10</v>
      </c>
      <c r="O148" s="1" t="b">
        <f t="shared" si="16"/>
        <v>1</v>
      </c>
      <c r="P148" s="80">
        <v>3.7699999999999999E-10</v>
      </c>
      <c r="Q148" s="80">
        <v>3.7699999999999999E-10</v>
      </c>
    </row>
    <row r="149" spans="1:17" x14ac:dyDescent="0.25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L149" s="77">
        <v>20</v>
      </c>
      <c r="M149" s="77">
        <v>20</v>
      </c>
      <c r="O149" s="1" t="b">
        <f t="shared" si="16"/>
        <v>1</v>
      </c>
      <c r="P149" s="77">
        <v>20</v>
      </c>
      <c r="Q149" s="77">
        <v>20</v>
      </c>
    </row>
    <row r="150" spans="1:17" x14ac:dyDescent="0.25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L150" s="77">
        <v>-0.06</v>
      </c>
      <c r="M150" s="77">
        <v>-0.06</v>
      </c>
      <c r="O150" s="1" t="b">
        <f t="shared" si="16"/>
        <v>1</v>
      </c>
      <c r="P150" s="77">
        <v>-0.06</v>
      </c>
      <c r="Q150" s="77">
        <v>-0.06</v>
      </c>
    </row>
    <row r="151" spans="1:17" x14ac:dyDescent="0.25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L151" s="77">
        <v>0.89100000000000001</v>
      </c>
      <c r="M151" s="77">
        <v>0.89100000000000001</v>
      </c>
      <c r="O151" s="1" t="b">
        <f t="shared" si="16"/>
        <v>1</v>
      </c>
      <c r="P151" s="77">
        <v>0.89100000000000001</v>
      </c>
      <c r="Q151" s="77">
        <v>0.89100000000000001</v>
      </c>
    </row>
    <row r="152" spans="1:17" x14ac:dyDescent="0.25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L152" s="77">
        <v>1</v>
      </c>
      <c r="M152" s="77">
        <v>1</v>
      </c>
      <c r="O152" s="1" t="b">
        <f t="shared" si="16"/>
        <v>1</v>
      </c>
      <c r="P152" s="77">
        <v>1</v>
      </c>
      <c r="Q152" s="77">
        <v>1</v>
      </c>
    </row>
    <row r="153" spans="1:17" x14ac:dyDescent="0.25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L153" s="80">
        <v>4.0000000000000003E-5</v>
      </c>
      <c r="M153" s="80">
        <v>4.0000000000000003E-5</v>
      </c>
      <c r="O153" s="1" t="b">
        <f t="shared" si="16"/>
        <v>1</v>
      </c>
      <c r="P153" s="80">
        <v>4.0000000000000003E-5</v>
      </c>
      <c r="Q153" s="80">
        <v>4.0000000000000003E-5</v>
      </c>
    </row>
    <row r="154" spans="1:17" x14ac:dyDescent="0.25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L154" s="80">
        <v>5.8333333333333335E-9</v>
      </c>
      <c r="M154" s="80">
        <v>5.8333333333333335E-9</v>
      </c>
      <c r="O154" s="1" t="b">
        <f t="shared" si="16"/>
        <v>1</v>
      </c>
      <c r="P154" s="80">
        <v>5.8333333333333335E-9</v>
      </c>
      <c r="Q154" s="80">
        <v>5.8333333333333335E-9</v>
      </c>
    </row>
    <row r="155" spans="1:17" x14ac:dyDescent="0.25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L155" s="77">
        <v>20</v>
      </c>
      <c r="M155" s="77">
        <v>20</v>
      </c>
      <c r="O155" s="1" t="b">
        <f t="shared" si="16"/>
        <v>1</v>
      </c>
      <c r="P155" s="77">
        <v>20</v>
      </c>
      <c r="Q155" s="77">
        <v>20</v>
      </c>
    </row>
    <row r="156" spans="1:17" x14ac:dyDescent="0.25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L156" s="77">
        <v>-0.06</v>
      </c>
      <c r="M156" s="77">
        <v>-0.06</v>
      </c>
      <c r="O156" s="1" t="b">
        <f t="shared" si="16"/>
        <v>1</v>
      </c>
      <c r="P156" s="77">
        <v>-0.06</v>
      </c>
      <c r="Q156" s="77">
        <v>-0.06</v>
      </c>
    </row>
    <row r="157" spans="1:17" x14ac:dyDescent="0.25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L157" s="77">
        <v>0.89100000000000001</v>
      </c>
      <c r="M157" s="77">
        <v>0.89100000000000001</v>
      </c>
      <c r="O157" s="1" t="b">
        <f t="shared" si="16"/>
        <v>1</v>
      </c>
      <c r="P157" s="77">
        <v>0.89100000000000001</v>
      </c>
      <c r="Q157" s="77">
        <v>0.89100000000000001</v>
      </c>
    </row>
    <row r="158" spans="1:17" x14ac:dyDescent="0.25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L158" s="77">
        <v>1</v>
      </c>
      <c r="M158" s="77">
        <v>1</v>
      </c>
      <c r="O158" s="1" t="b">
        <f t="shared" si="16"/>
        <v>1</v>
      </c>
      <c r="P158" s="77">
        <v>1</v>
      </c>
      <c r="Q158" s="77">
        <v>1</v>
      </c>
    </row>
    <row r="159" spans="1:17" x14ac:dyDescent="0.25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L159" s="80">
        <v>4.0000000000000003E-5</v>
      </c>
      <c r="M159" s="80">
        <v>4.0000000000000003E-5</v>
      </c>
      <c r="O159" s="1" t="b">
        <f t="shared" si="16"/>
        <v>1</v>
      </c>
      <c r="P159" s="80">
        <v>4.0000000000000003E-5</v>
      </c>
      <c r="Q159" s="80">
        <v>4.0000000000000003E-5</v>
      </c>
    </row>
    <row r="160" spans="1:17" x14ac:dyDescent="0.25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L160" s="83">
        <v>4.0000000000000001E-8</v>
      </c>
      <c r="M160" s="83">
        <v>4.0000000000000001E-8</v>
      </c>
      <c r="O160" s="1" t="b">
        <f t="shared" si="16"/>
        <v>1</v>
      </c>
      <c r="P160" s="83">
        <v>4.0000000000000001E-8</v>
      </c>
      <c r="Q160" s="83">
        <v>4.0000000000000001E-8</v>
      </c>
    </row>
    <row r="161" spans="1:17" x14ac:dyDescent="0.25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L161" s="77">
        <v>20</v>
      </c>
      <c r="M161" s="77">
        <v>20</v>
      </c>
      <c r="O161" s="1" t="b">
        <f t="shared" si="16"/>
        <v>1</v>
      </c>
      <c r="P161" s="77">
        <v>20</v>
      </c>
      <c r="Q161" s="77">
        <v>20</v>
      </c>
    </row>
    <row r="162" spans="1:17" x14ac:dyDescent="0.25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L162" s="77">
        <v>-4.4200000000000003E-2</v>
      </c>
      <c r="M162" s="77">
        <v>-4.4200000000000003E-2</v>
      </c>
      <c r="O162" s="1" t="b">
        <f t="shared" si="16"/>
        <v>1</v>
      </c>
      <c r="P162" s="77">
        <v>-4.4200000000000003E-2</v>
      </c>
      <c r="Q162" s="77">
        <v>-4.4200000000000003E-2</v>
      </c>
    </row>
    <row r="163" spans="1:17" x14ac:dyDescent="0.25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L163" s="77">
        <v>1.55</v>
      </c>
      <c r="M163" s="77">
        <v>1.55</v>
      </c>
      <c r="O163" s="1" t="b">
        <f t="shared" si="16"/>
        <v>1</v>
      </c>
      <c r="P163" s="77">
        <v>1.55</v>
      </c>
      <c r="Q163" s="77">
        <v>1.55</v>
      </c>
    </row>
    <row r="164" spans="1:17" x14ac:dyDescent="0.25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L164" s="77">
        <v>1</v>
      </c>
      <c r="M164" s="77">
        <v>1</v>
      </c>
      <c r="O164" s="1" t="b">
        <f t="shared" si="16"/>
        <v>1</v>
      </c>
      <c r="P164" s="77">
        <v>1</v>
      </c>
      <c r="Q164" s="77">
        <v>1</v>
      </c>
    </row>
    <row r="165" spans="1:17" x14ac:dyDescent="0.25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L165" s="77">
        <v>2.7799999999999998E-4</v>
      </c>
      <c r="M165" s="77">
        <v>2.7799999999999998E-4</v>
      </c>
      <c r="O165" s="1" t="b">
        <f t="shared" si="16"/>
        <v>1</v>
      </c>
      <c r="P165" s="77">
        <v>2.7799999999999998E-4</v>
      </c>
      <c r="Q165" s="77">
        <v>2.7799999999999998E-4</v>
      </c>
    </row>
    <row r="166" spans="1:17" x14ac:dyDescent="0.25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L166" s="84">
        <v>2.4999999999999998E-12</v>
      </c>
      <c r="M166" s="84">
        <v>2.4999999999999998E-12</v>
      </c>
      <c r="O166" s="1" t="b">
        <f t="shared" si="16"/>
        <v>1</v>
      </c>
      <c r="P166" s="84">
        <v>2.4999999999999998E-12</v>
      </c>
      <c r="Q166" s="84">
        <v>2.4999999999999998E-12</v>
      </c>
    </row>
    <row r="167" spans="1:17" x14ac:dyDescent="0.25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L167" s="77">
        <v>20</v>
      </c>
      <c r="M167" s="77">
        <v>20</v>
      </c>
      <c r="O167" s="1" t="b">
        <f t="shared" si="16"/>
        <v>1</v>
      </c>
      <c r="P167" s="77">
        <v>20</v>
      </c>
      <c r="Q167" s="77">
        <v>20</v>
      </c>
    </row>
    <row r="168" spans="1:17" x14ac:dyDescent="0.25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L168" s="77">
        <v>0</v>
      </c>
      <c r="M168" s="77">
        <v>0</v>
      </c>
      <c r="O168" s="1" t="b">
        <f t="shared" si="16"/>
        <v>1</v>
      </c>
      <c r="P168" s="77">
        <v>0</v>
      </c>
      <c r="Q168" s="77">
        <v>0</v>
      </c>
    </row>
    <row r="169" spans="1:17" x14ac:dyDescent="0.25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L169" s="77">
        <v>1</v>
      </c>
      <c r="M169" s="77">
        <v>1</v>
      </c>
      <c r="O169" s="1" t="b">
        <f t="shared" si="16"/>
        <v>1</v>
      </c>
      <c r="P169" s="77">
        <v>1</v>
      </c>
      <c r="Q169" s="77">
        <v>1</v>
      </c>
    </row>
    <row r="170" spans="1:17" x14ac:dyDescent="0.25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>
        <v>0</v>
      </c>
      <c r="M170" s="77">
        <v>0</v>
      </c>
      <c r="O170" s="1" t="b">
        <f t="shared" si="16"/>
        <v>1</v>
      </c>
      <c r="P170" s="77">
        <v>0</v>
      </c>
      <c r="Q170" s="77">
        <v>0</v>
      </c>
    </row>
    <row r="171" spans="1:17" x14ac:dyDescent="0.25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L171" s="77">
        <v>0.4</v>
      </c>
      <c r="M171" s="77">
        <v>0.4</v>
      </c>
      <c r="O171" s="1" t="b">
        <f t="shared" si="16"/>
        <v>1</v>
      </c>
      <c r="P171" s="77">
        <v>0.4</v>
      </c>
      <c r="Q171" s="77">
        <v>0.4</v>
      </c>
    </row>
    <row r="172" spans="1:17" x14ac:dyDescent="0.25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L172" s="86">
        <v>2.0000000000000001E-9</v>
      </c>
      <c r="M172" s="86">
        <v>2.0000000000000001E-9</v>
      </c>
      <c r="O172" s="1" t="b">
        <f t="shared" si="16"/>
        <v>1</v>
      </c>
      <c r="P172" s="86">
        <v>2.0000000000000001E-9</v>
      </c>
      <c r="Q172" s="86">
        <v>2.0000000000000001E-9</v>
      </c>
    </row>
    <row r="173" spans="1:17" x14ac:dyDescent="0.25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L173" s="77">
        <v>25</v>
      </c>
      <c r="M173" s="77">
        <v>25</v>
      </c>
      <c r="O173" s="1" t="b">
        <f t="shared" si="16"/>
        <v>1</v>
      </c>
      <c r="P173" s="77">
        <v>25</v>
      </c>
      <c r="Q173" s="77">
        <v>25</v>
      </c>
    </row>
    <row r="174" spans="1:17" x14ac:dyDescent="0.25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L174" s="77">
        <v>0</v>
      </c>
      <c r="M174" s="77">
        <v>0</v>
      </c>
      <c r="O174" s="1" t="b">
        <f t="shared" si="16"/>
        <v>1</v>
      </c>
      <c r="P174" s="77">
        <v>0</v>
      </c>
      <c r="Q174" s="77">
        <v>0</v>
      </c>
    </row>
    <row r="175" spans="1:17" x14ac:dyDescent="0.25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L175" s="77">
        <v>3.98</v>
      </c>
      <c r="M175" s="77">
        <v>3.98</v>
      </c>
      <c r="O175" s="1" t="b">
        <f t="shared" si="16"/>
        <v>1</v>
      </c>
      <c r="P175" s="77">
        <v>3.98</v>
      </c>
      <c r="Q175" s="77">
        <v>3.98</v>
      </c>
    </row>
    <row r="176" spans="1:17" x14ac:dyDescent="0.25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L176" s="77">
        <v>1</v>
      </c>
      <c r="M176" s="77">
        <v>1</v>
      </c>
      <c r="O176" s="1" t="b">
        <f t="shared" si="16"/>
        <v>1</v>
      </c>
      <c r="P176" s="77">
        <v>1</v>
      </c>
      <c r="Q176" s="77">
        <v>1</v>
      </c>
    </row>
    <row r="177" spans="1:17" x14ac:dyDescent="0.25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L177" s="78">
        <v>1.6666666666666666E-4</v>
      </c>
      <c r="M177" s="78">
        <v>1.6666666666666666E-4</v>
      </c>
      <c r="O177" s="1" t="b">
        <f t="shared" si="16"/>
        <v>1</v>
      </c>
      <c r="P177" s="78">
        <v>1.6666666666666666E-4</v>
      </c>
      <c r="Q177" s="78">
        <v>1.6666666666666666E-4</v>
      </c>
    </row>
    <row r="178" spans="1:17" x14ac:dyDescent="0.25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L178" s="80">
        <v>1E-8</v>
      </c>
      <c r="M178" s="80">
        <v>1E-8</v>
      </c>
      <c r="O178" s="1" t="b">
        <f t="shared" si="16"/>
        <v>1</v>
      </c>
      <c r="P178" s="80">
        <v>1E-8</v>
      </c>
      <c r="Q178" s="80">
        <v>1E-8</v>
      </c>
    </row>
    <row r="179" spans="1:17" x14ac:dyDescent="0.25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L179" s="77">
        <v>20</v>
      </c>
      <c r="M179" s="77">
        <v>20</v>
      </c>
      <c r="O179" s="1" t="b">
        <f t="shared" si="16"/>
        <v>1</v>
      </c>
      <c r="P179" s="77">
        <v>20</v>
      </c>
      <c r="Q179" s="77">
        <v>20</v>
      </c>
    </row>
    <row r="180" spans="1:17" x14ac:dyDescent="0.25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L180" s="77">
        <v>0</v>
      </c>
      <c r="M180" s="77">
        <v>0</v>
      </c>
      <c r="O180" s="1" t="b">
        <f t="shared" si="16"/>
        <v>1</v>
      </c>
      <c r="P180" s="77">
        <v>0</v>
      </c>
      <c r="Q180" s="77">
        <v>0</v>
      </c>
    </row>
    <row r="181" spans="1:17" x14ac:dyDescent="0.25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L181" s="77">
        <v>2</v>
      </c>
      <c r="M181" s="77">
        <v>2</v>
      </c>
      <c r="O181" s="1" t="b">
        <f t="shared" si="16"/>
        <v>1</v>
      </c>
      <c r="P181" s="77">
        <v>2</v>
      </c>
      <c r="Q181" s="77">
        <v>2</v>
      </c>
    </row>
    <row r="182" spans="1:17" x14ac:dyDescent="0.25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L182" s="77">
        <v>1</v>
      </c>
      <c r="M182" s="77">
        <v>1</v>
      </c>
      <c r="O182" s="1" t="b">
        <f t="shared" si="16"/>
        <v>1</v>
      </c>
      <c r="P182" s="77">
        <v>1</v>
      </c>
      <c r="Q182" s="77">
        <v>1</v>
      </c>
    </row>
    <row r="183" spans="1:17" x14ac:dyDescent="0.25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L183" s="78">
        <v>8.3333333333333331E-5</v>
      </c>
      <c r="M183" s="78">
        <v>8.3333333333333331E-5</v>
      </c>
      <c r="O183" s="1" t="b">
        <f t="shared" si="16"/>
        <v>1</v>
      </c>
      <c r="P183" s="78">
        <v>8.3333333333333331E-5</v>
      </c>
      <c r="Q183" s="78">
        <v>8.3333333333333331E-5</v>
      </c>
    </row>
    <row r="184" spans="1:17" x14ac:dyDescent="0.25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>
        <v>1</v>
      </c>
      <c r="M184" s="77">
        <v>1</v>
      </c>
      <c r="O184" s="1" t="b">
        <f t="shared" si="16"/>
        <v>1</v>
      </c>
      <c r="P184" s="77">
        <v>1</v>
      </c>
      <c r="Q184" s="77">
        <v>1</v>
      </c>
    </row>
    <row r="185" spans="1:17" x14ac:dyDescent="0.25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L185" s="77">
        <v>2.3533050791148899E-8</v>
      </c>
      <c r="M185" s="77">
        <v>2.3533050791148899E-8</v>
      </c>
      <c r="O185" s="1" t="b">
        <f t="shared" si="16"/>
        <v>1</v>
      </c>
      <c r="P185" s="77">
        <v>2.3533050791148899E-8</v>
      </c>
      <c r="Q185" s="77">
        <v>2.3533050791148899E-8</v>
      </c>
    </row>
    <row r="186" spans="1:17" x14ac:dyDescent="0.25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L186" s="77">
        <v>20</v>
      </c>
      <c r="M186" s="77">
        <v>20</v>
      </c>
      <c r="O186" s="1" t="b">
        <f t="shared" si="16"/>
        <v>1</v>
      </c>
      <c r="P186" s="77">
        <v>20</v>
      </c>
      <c r="Q186" s="77">
        <v>20</v>
      </c>
    </row>
    <row r="187" spans="1:17" x14ac:dyDescent="0.25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L187" s="77">
        <v>-0.187</v>
      </c>
      <c r="M187" s="77">
        <v>-0.187</v>
      </c>
      <c r="O187" s="1" t="b">
        <f t="shared" si="16"/>
        <v>1</v>
      </c>
      <c r="P187" s="77">
        <v>-0.187</v>
      </c>
      <c r="Q187" s="77">
        <v>-0.187</v>
      </c>
    </row>
    <row r="188" spans="1:17" x14ac:dyDescent="0.25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L188" s="77">
        <v>2.48</v>
      </c>
      <c r="M188" s="77">
        <v>2.48</v>
      </c>
      <c r="O188" s="1" t="b">
        <f t="shared" si="16"/>
        <v>1</v>
      </c>
      <c r="P188" s="77">
        <v>2.48</v>
      </c>
      <c r="Q188" s="77">
        <v>2.48</v>
      </c>
    </row>
    <row r="189" spans="1:17" x14ac:dyDescent="0.25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L189" s="77">
        <v>1</v>
      </c>
      <c r="M189" s="77">
        <v>1</v>
      </c>
      <c r="O189" s="1" t="b">
        <f t="shared" si="16"/>
        <v>1</v>
      </c>
      <c r="P189" s="77">
        <v>1</v>
      </c>
      <c r="Q189" s="77">
        <v>1</v>
      </c>
    </row>
    <row r="190" spans="1:17" x14ac:dyDescent="0.25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L190" s="77">
        <v>6.1060227588121015E-4</v>
      </c>
      <c r="M190" s="77">
        <v>6.1060227588121015E-4</v>
      </c>
      <c r="O190" s="1" t="b">
        <f t="shared" si="16"/>
        <v>1</v>
      </c>
      <c r="P190" s="77">
        <v>6.1060227588121015E-4</v>
      </c>
      <c r="Q190" s="77">
        <v>6.1060227588121015E-4</v>
      </c>
    </row>
    <row r="191" spans="1:17" x14ac:dyDescent="0.25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L191" s="85">
        <v>3.9999999999999998E-7</v>
      </c>
      <c r="M191" s="85">
        <v>3.9999999999999998E-7</v>
      </c>
      <c r="O191" s="1" t="b">
        <f t="shared" si="16"/>
        <v>1</v>
      </c>
      <c r="P191" s="85">
        <v>3.9999999999999998E-7</v>
      </c>
      <c r="Q191" s="85">
        <v>3.9999999999999998E-7</v>
      </c>
    </row>
    <row r="192" spans="1:17" x14ac:dyDescent="0.25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L192" s="77">
        <v>25</v>
      </c>
      <c r="M192" s="77">
        <v>25</v>
      </c>
      <c r="O192" s="1" t="b">
        <f t="shared" si="16"/>
        <v>1</v>
      </c>
      <c r="P192" s="77">
        <v>25</v>
      </c>
      <c r="Q192" s="77">
        <v>25</v>
      </c>
    </row>
    <row r="193" spans="1:17" x14ac:dyDescent="0.25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L193" s="77">
        <v>0</v>
      </c>
      <c r="M193" s="77">
        <v>0</v>
      </c>
      <c r="O193" s="1" t="b">
        <f t="shared" si="16"/>
        <v>1</v>
      </c>
      <c r="P193" s="77">
        <v>0</v>
      </c>
      <c r="Q193" s="77">
        <v>0</v>
      </c>
    </row>
    <row r="194" spans="1:17" x14ac:dyDescent="0.25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L194" s="77">
        <v>3.98</v>
      </c>
      <c r="M194" s="77">
        <v>3.98</v>
      </c>
      <c r="O194" s="1" t="b">
        <f t="shared" si="16"/>
        <v>1</v>
      </c>
      <c r="P194" s="77">
        <v>3.98</v>
      </c>
      <c r="Q194" s="77">
        <v>3.98</v>
      </c>
    </row>
    <row r="195" spans="1:17" x14ac:dyDescent="0.25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L195" s="77">
        <v>1</v>
      </c>
      <c r="M195" s="77">
        <v>1</v>
      </c>
      <c r="O195" s="1" t="b">
        <f t="shared" ref="O195:O233" si="17">L195=M195</f>
        <v>1</v>
      </c>
      <c r="P195" s="77">
        <v>1</v>
      </c>
      <c r="Q195" s="77">
        <v>1</v>
      </c>
    </row>
    <row r="196" spans="1:17" x14ac:dyDescent="0.25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L196" s="78">
        <v>8.3333333333333331E-5</v>
      </c>
      <c r="M196" s="78">
        <v>8.3333333333333331E-5</v>
      </c>
      <c r="O196" s="1" t="b">
        <f t="shared" si="17"/>
        <v>1</v>
      </c>
      <c r="P196" s="78">
        <v>8.3333333333333331E-5</v>
      </c>
      <c r="Q196" s="78">
        <v>8.3333333333333331E-5</v>
      </c>
    </row>
    <row r="197" spans="1:17" x14ac:dyDescent="0.25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L197" s="85">
        <v>3.9999999999999998E-7</v>
      </c>
      <c r="M197" s="85">
        <v>3.9999999999999998E-7</v>
      </c>
      <c r="O197" s="1" t="b">
        <f t="shared" si="17"/>
        <v>1</v>
      </c>
      <c r="P197" s="85">
        <v>3.9999999999999998E-7</v>
      </c>
      <c r="Q197" s="85">
        <v>3.9999999999999998E-7</v>
      </c>
    </row>
    <row r="198" spans="1:17" x14ac:dyDescent="0.25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L198" s="77">
        <v>25</v>
      </c>
      <c r="M198" s="77">
        <v>25</v>
      </c>
      <c r="O198" s="1" t="b">
        <f t="shared" si="17"/>
        <v>1</v>
      </c>
      <c r="P198" s="77">
        <v>25</v>
      </c>
      <c r="Q198" s="77">
        <v>25</v>
      </c>
    </row>
    <row r="199" spans="1:17" x14ac:dyDescent="0.25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L199" s="77">
        <v>0</v>
      </c>
      <c r="M199" s="77">
        <v>0</v>
      </c>
      <c r="O199" s="1" t="b">
        <f t="shared" si="17"/>
        <v>1</v>
      </c>
      <c r="P199" s="77">
        <v>0</v>
      </c>
      <c r="Q199" s="77">
        <v>0</v>
      </c>
    </row>
    <row r="200" spans="1:17" x14ac:dyDescent="0.25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L200" s="77">
        <v>3.98</v>
      </c>
      <c r="M200" s="77">
        <v>3.98</v>
      </c>
      <c r="O200" s="1" t="b">
        <f t="shared" si="17"/>
        <v>1</v>
      </c>
      <c r="P200" s="77">
        <v>3.98</v>
      </c>
      <c r="Q200" s="77">
        <v>3.98</v>
      </c>
    </row>
    <row r="201" spans="1:17" x14ac:dyDescent="0.25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L201" s="77">
        <v>1</v>
      </c>
      <c r="M201" s="77">
        <v>1</v>
      </c>
      <c r="O201" s="1" t="b">
        <f t="shared" si="17"/>
        <v>1</v>
      </c>
      <c r="P201" s="77">
        <v>1</v>
      </c>
      <c r="Q201" s="77">
        <v>1</v>
      </c>
    </row>
    <row r="202" spans="1:17" x14ac:dyDescent="0.25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L202" s="78">
        <v>8.3333333333333331E-5</v>
      </c>
      <c r="M202" s="78">
        <v>8.3333333333333331E-5</v>
      </c>
      <c r="O202" s="1" t="b">
        <f t="shared" si="17"/>
        <v>1</v>
      </c>
      <c r="P202" s="78">
        <v>8.3333333333333331E-5</v>
      </c>
      <c r="Q202" s="78">
        <v>8.3333333333333331E-5</v>
      </c>
    </row>
    <row r="203" spans="1:17" x14ac:dyDescent="0.25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L203" s="85">
        <v>1.9999999999999999E-7</v>
      </c>
      <c r="M203" s="85">
        <v>1.9999999999999999E-7</v>
      </c>
      <c r="O203" s="1" t="b">
        <f t="shared" si="17"/>
        <v>1</v>
      </c>
      <c r="P203" s="85">
        <v>1.9999999999999999E-7</v>
      </c>
      <c r="Q203" s="85">
        <v>1.9999999999999999E-7</v>
      </c>
    </row>
    <row r="204" spans="1:17" x14ac:dyDescent="0.25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L204" s="77">
        <v>25</v>
      </c>
      <c r="M204" s="77">
        <v>25</v>
      </c>
      <c r="O204" s="1" t="b">
        <f t="shared" si="17"/>
        <v>1</v>
      </c>
      <c r="P204" s="77">
        <v>25</v>
      </c>
      <c r="Q204" s="77">
        <v>25</v>
      </c>
    </row>
    <row r="205" spans="1:17" x14ac:dyDescent="0.25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L205" s="77">
        <v>0</v>
      </c>
      <c r="M205" s="77">
        <v>0</v>
      </c>
      <c r="O205" s="1" t="b">
        <f t="shared" si="17"/>
        <v>1</v>
      </c>
      <c r="P205" s="77">
        <v>0</v>
      </c>
      <c r="Q205" s="77">
        <v>0</v>
      </c>
    </row>
    <row r="206" spans="1:17" x14ac:dyDescent="0.25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L206" s="77">
        <v>3.98</v>
      </c>
      <c r="M206" s="77">
        <v>3.98</v>
      </c>
      <c r="O206" s="1" t="b">
        <f t="shared" si="17"/>
        <v>1</v>
      </c>
      <c r="P206" s="77">
        <v>3.98</v>
      </c>
      <c r="Q206" s="77">
        <v>3.98</v>
      </c>
    </row>
    <row r="207" spans="1:17" x14ac:dyDescent="0.25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L207" s="77">
        <v>1</v>
      </c>
      <c r="M207" s="77">
        <v>1</v>
      </c>
      <c r="O207" s="1" t="b">
        <f t="shared" si="17"/>
        <v>1</v>
      </c>
      <c r="P207" s="77">
        <v>1</v>
      </c>
      <c r="Q207" s="77">
        <v>1</v>
      </c>
    </row>
    <row r="208" spans="1:17" x14ac:dyDescent="0.25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L208" s="78">
        <v>8.3333333333333331E-5</v>
      </c>
      <c r="M208" s="78">
        <v>8.3333333333333331E-5</v>
      </c>
      <c r="O208" s="1" t="b">
        <f t="shared" si="17"/>
        <v>1</v>
      </c>
      <c r="P208" s="78">
        <v>8.3333333333333331E-5</v>
      </c>
      <c r="Q208" s="78">
        <v>8.3333333333333331E-5</v>
      </c>
    </row>
    <row r="209" spans="1:17" x14ac:dyDescent="0.25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L209" s="95" t="s">
        <v>90</v>
      </c>
      <c r="M209" s="95" t="s">
        <v>90</v>
      </c>
      <c r="O209" s="1" t="b">
        <f t="shared" si="17"/>
        <v>1</v>
      </c>
      <c r="P209" s="95" t="s">
        <v>90</v>
      </c>
      <c r="Q209" s="95" t="s">
        <v>90</v>
      </c>
    </row>
    <row r="210" spans="1:17" s="96" customFormat="1" x14ac:dyDescent="0.25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18">0.00002</f>
        <v>2.0000000000000002E-5</v>
      </c>
      <c r="I210" s="83">
        <f t="shared" si="18"/>
        <v>2.0000000000000002E-5</v>
      </c>
      <c r="J210" s="83">
        <f t="shared" si="18"/>
        <v>2.0000000000000002E-5</v>
      </c>
      <c r="K210" s="83">
        <f>0.00005 / 100</f>
        <v>4.9999999999999998E-7</v>
      </c>
      <c r="L210" s="83">
        <f>0.00005 / 100</f>
        <v>4.9999999999999998E-7</v>
      </c>
      <c r="M210" s="83">
        <f>0.00005 / 100</f>
        <v>4.9999999999999998E-7</v>
      </c>
      <c r="N210" s="1"/>
      <c r="O210" s="1" t="b">
        <f t="shared" si="17"/>
        <v>1</v>
      </c>
      <c r="P210" s="2">
        <v>0.01</v>
      </c>
      <c r="Q210" s="2">
        <v>0.01</v>
      </c>
    </row>
    <row r="211" spans="1:17" s="96" customFormat="1" x14ac:dyDescent="0.25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83">
        <v>0.1</v>
      </c>
      <c r="M211" s="83">
        <v>0.1</v>
      </c>
      <c r="N211" s="1"/>
      <c r="O211" s="1" t="b">
        <f t="shared" si="17"/>
        <v>1</v>
      </c>
      <c r="P211" s="99">
        <v>0</v>
      </c>
      <c r="Q211" s="99">
        <v>0</v>
      </c>
    </row>
    <row r="212" spans="1:17" s="96" customFormat="1" x14ac:dyDescent="0.25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M212" si="19">0.00002 / 14</f>
        <v>1.4285714285714286E-6</v>
      </c>
      <c r="I212" s="83">
        <f t="shared" si="19"/>
        <v>1.4285714285714286E-6</v>
      </c>
      <c r="J212" s="83">
        <v>2E-3</v>
      </c>
      <c r="K212" s="83">
        <f t="shared" si="19"/>
        <v>1.4285714285714286E-6</v>
      </c>
      <c r="L212" s="83">
        <f t="shared" si="19"/>
        <v>1.4285714285714286E-6</v>
      </c>
      <c r="M212" s="83">
        <f t="shared" si="19"/>
        <v>1.4285714285714286E-6</v>
      </c>
      <c r="N212" s="1"/>
      <c r="O212" s="1" t="b">
        <f t="shared" si="17"/>
        <v>1</v>
      </c>
      <c r="P212" s="100">
        <v>1</v>
      </c>
      <c r="Q212" s="100">
        <v>0.01</v>
      </c>
    </row>
    <row r="213" spans="1:17" s="96" customFormat="1" x14ac:dyDescent="0.25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83" t="s">
        <v>476</v>
      </c>
      <c r="M213" s="83" t="s">
        <v>476</v>
      </c>
      <c r="N213" s="1"/>
      <c r="O213" s="1" t="b">
        <f t="shared" si="17"/>
        <v>1</v>
      </c>
      <c r="P213" s="98">
        <v>0.1</v>
      </c>
      <c r="Q213" s="98" t="s">
        <v>476</v>
      </c>
    </row>
    <row r="214" spans="1:17" s="96" customFormat="1" x14ac:dyDescent="0.25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83">
        <v>0</v>
      </c>
      <c r="M214" s="83">
        <v>0</v>
      </c>
      <c r="N214" s="1"/>
      <c r="O214" s="1" t="b">
        <f t="shared" si="17"/>
        <v>1</v>
      </c>
      <c r="P214" s="98">
        <v>0.04</v>
      </c>
      <c r="Q214" s="98">
        <v>0.04</v>
      </c>
    </row>
    <row r="215" spans="1:17" s="96" customFormat="1" x14ac:dyDescent="0.25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83">
        <v>1E-3</v>
      </c>
      <c r="M215" s="83">
        <v>1E-3</v>
      </c>
      <c r="N215" s="1"/>
      <c r="O215" s="1" t="b">
        <f t="shared" si="17"/>
        <v>1</v>
      </c>
      <c r="P215" s="98">
        <v>1E-3</v>
      </c>
      <c r="Q215" s="98">
        <v>1E-3</v>
      </c>
    </row>
    <row r="216" spans="1:17" x14ac:dyDescent="0.25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 t="shared" ref="H216:M216" si="20">1250*0.000001/5</f>
        <v>2.5000000000000001E-4</v>
      </c>
      <c r="I216" s="99">
        <f t="shared" si="20"/>
        <v>2.5000000000000001E-4</v>
      </c>
      <c r="J216" s="99">
        <f t="shared" si="20"/>
        <v>2.5000000000000001E-4</v>
      </c>
      <c r="K216" s="99">
        <f t="shared" si="20"/>
        <v>2.5000000000000001E-4</v>
      </c>
      <c r="L216" s="99">
        <f t="shared" si="20"/>
        <v>2.5000000000000001E-4</v>
      </c>
      <c r="M216" s="99">
        <f t="shared" si="20"/>
        <v>2.5000000000000001E-4</v>
      </c>
      <c r="O216" s="1" t="b">
        <f t="shared" si="17"/>
        <v>1</v>
      </c>
      <c r="P216" s="99">
        <v>2.5000000000000001E-4</v>
      </c>
      <c r="Q216" s="99">
        <v>2.5000000000000001E-4</v>
      </c>
    </row>
    <row r="217" spans="1:17" x14ac:dyDescent="0.25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L217" s="99">
        <v>2.0000000000000001E-4</v>
      </c>
      <c r="M217" s="99">
        <v>2.0000000000000001E-4</v>
      </c>
      <c r="O217" s="1" t="b">
        <f t="shared" si="17"/>
        <v>1</v>
      </c>
      <c r="P217" s="99">
        <v>2.0000000000000001E-4</v>
      </c>
      <c r="Q217" s="99">
        <v>2.0000000000000001E-4</v>
      </c>
    </row>
    <row r="218" spans="1:17" x14ac:dyDescent="0.25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  <c r="L218" s="83">
        <f xml:space="preserve"> 0.0000000000025</f>
        <v>2.4999999999999998E-12</v>
      </c>
      <c r="M218" s="83">
        <f xml:space="preserve"> 0.0000000000025</f>
        <v>2.4999999999999998E-12</v>
      </c>
      <c r="O218" s="1" t="b">
        <f t="shared" si="17"/>
        <v>1</v>
      </c>
    </row>
    <row r="219" spans="1:17" x14ac:dyDescent="0.25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0.00000000005</f>
        <v>5.0000000000000002E-11</v>
      </c>
      <c r="L219" s="83">
        <f>0.00000000005</f>
        <v>5.0000000000000002E-11</v>
      </c>
      <c r="M219" s="83">
        <f>0.00000000005</f>
        <v>5.0000000000000002E-11</v>
      </c>
      <c r="O219" s="1" t="b">
        <f t="shared" si="17"/>
        <v>1</v>
      </c>
    </row>
    <row r="220" spans="1:17" x14ac:dyDescent="0.25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550</v>
      </c>
      <c r="G220" s="99">
        <v>9.9999999999999995E-8</v>
      </c>
      <c r="H220" s="83"/>
      <c r="I220" s="83"/>
      <c r="J220" s="83"/>
      <c r="K220" s="83">
        <f>0.0000001 * 10 /2</f>
        <v>4.9999999999999998E-7</v>
      </c>
      <c r="L220" s="83">
        <f>0.0000001 * 10 /2</f>
        <v>4.9999999999999998E-7</v>
      </c>
      <c r="M220" s="83">
        <f>0.0000001 * 10 /2</f>
        <v>4.9999999999999998E-7</v>
      </c>
      <c r="O220" s="1" t="b">
        <f t="shared" si="17"/>
        <v>1</v>
      </c>
    </row>
    <row r="221" spans="1:17" x14ac:dyDescent="0.25">
      <c r="A221" s="2" t="s">
        <v>571</v>
      </c>
      <c r="B221" s="3" t="s">
        <v>471</v>
      </c>
      <c r="C221" s="2" t="s">
        <v>487</v>
      </c>
      <c r="D221" s="2" t="s">
        <v>532</v>
      </c>
      <c r="E221" s="96" t="s">
        <v>572</v>
      </c>
      <c r="F221" s="96" t="s">
        <v>495</v>
      </c>
      <c r="G221" s="99">
        <v>100</v>
      </c>
      <c r="H221" s="83"/>
      <c r="I221" s="83"/>
      <c r="J221" s="83"/>
      <c r="K221" s="83">
        <f>100</f>
        <v>100</v>
      </c>
      <c r="L221" s="83">
        <f>100</f>
        <v>100</v>
      </c>
      <c r="M221" s="83">
        <f>100</f>
        <v>100</v>
      </c>
      <c r="O221" s="1" t="b">
        <f t="shared" si="17"/>
        <v>1</v>
      </c>
    </row>
    <row r="222" spans="1:17" x14ac:dyDescent="0.25">
      <c r="A222" s="2" t="s">
        <v>536</v>
      </c>
      <c r="B222" s="3" t="s">
        <v>471</v>
      </c>
      <c r="C222" s="2" t="s">
        <v>487</v>
      </c>
      <c r="D222" s="2" t="s">
        <v>532</v>
      </c>
      <c r="E222" s="96" t="s">
        <v>547</v>
      </c>
      <c r="F222" s="96" t="s">
        <v>548</v>
      </c>
      <c r="G222" s="99">
        <v>9.9999999999999995E-8</v>
      </c>
      <c r="H222" s="83">
        <f>0.000001 / 10000</f>
        <v>9.9999999999999991E-11</v>
      </c>
      <c r="I222" s="83">
        <f>0.000001 / 10000</f>
        <v>9.9999999999999991E-11</v>
      </c>
      <c r="J222" s="83">
        <f>0.000001 / 10000</f>
        <v>9.9999999999999991E-11</v>
      </c>
      <c r="K222" s="83">
        <f>0.000001 / 10000 / 4</f>
        <v>2.4999999999999998E-11</v>
      </c>
      <c r="L222" s="83">
        <f>0.000001 / 10000 / 4 / 10</f>
        <v>2.4999999999999998E-12</v>
      </c>
      <c r="M222" s="83">
        <f>0.000001 / 10000 / 4</f>
        <v>2.4999999999999998E-11</v>
      </c>
      <c r="O222" s="1" t="b">
        <f t="shared" si="17"/>
        <v>0</v>
      </c>
    </row>
    <row r="223" spans="1:17" x14ac:dyDescent="0.25">
      <c r="A223" s="2" t="s">
        <v>537</v>
      </c>
      <c r="B223" s="3" t="s">
        <v>471</v>
      </c>
      <c r="C223" s="2" t="s">
        <v>487</v>
      </c>
      <c r="D223" s="2" t="s">
        <v>532</v>
      </c>
      <c r="E223" s="96" t="s">
        <v>549</v>
      </c>
      <c r="F223" s="96" t="s">
        <v>550</v>
      </c>
      <c r="G223" s="99">
        <f>2*0.00001</f>
        <v>2.0000000000000002E-5</v>
      </c>
      <c r="H223" s="83">
        <v>5.0000000000000002E-5</v>
      </c>
      <c r="I223" s="83">
        <v>1.0000000000000001E-5</v>
      </c>
      <c r="J223" s="83">
        <v>5.0000000000000002E-5</v>
      </c>
      <c r="K223" s="83">
        <v>1.0000000000000001E-5</v>
      </c>
      <c r="L223" s="83">
        <f>0.00001</f>
        <v>1.0000000000000001E-5</v>
      </c>
      <c r="M223" s="83">
        <f>0.00001 * 10</f>
        <v>1E-4</v>
      </c>
      <c r="N223" s="83">
        <v>1.0000000000000001E-5</v>
      </c>
      <c r="O223" s="1" t="b">
        <f t="shared" si="17"/>
        <v>0</v>
      </c>
    </row>
    <row r="224" spans="1:17" x14ac:dyDescent="0.25">
      <c r="A224" s="2" t="s">
        <v>579</v>
      </c>
      <c r="B224" s="3" t="s">
        <v>471</v>
      </c>
      <c r="C224" s="2" t="s">
        <v>487</v>
      </c>
      <c r="D224" s="2" t="s">
        <v>532</v>
      </c>
      <c r="E224" s="96" t="s">
        <v>580</v>
      </c>
      <c r="F224" s="96" t="s">
        <v>550</v>
      </c>
      <c r="G224" s="99">
        <f>2*0.00001</f>
        <v>2.0000000000000002E-5</v>
      </c>
      <c r="H224" s="83">
        <v>1E-3</v>
      </c>
      <c r="I224" s="83">
        <v>1E-3</v>
      </c>
      <c r="J224" s="83">
        <v>1E-3</v>
      </c>
      <c r="K224" s="83">
        <v>1E-3</v>
      </c>
      <c r="L224" s="83">
        <f xml:space="preserve"> 0.001 * 10</f>
        <v>0.01</v>
      </c>
      <c r="M224" s="83">
        <v>1E-3</v>
      </c>
    </row>
    <row r="225" spans="1:15" x14ac:dyDescent="0.25">
      <c r="A225" s="2" t="s">
        <v>581</v>
      </c>
      <c r="B225" s="3" t="s">
        <v>471</v>
      </c>
      <c r="C225" s="2" t="s">
        <v>487</v>
      </c>
      <c r="D225" s="2" t="s">
        <v>532</v>
      </c>
      <c r="E225" s="96" t="s">
        <v>582</v>
      </c>
      <c r="F225" s="96" t="s">
        <v>550</v>
      </c>
      <c r="G225" s="99">
        <v>1.0000000000000001E-5</v>
      </c>
      <c r="H225" s="99">
        <v>1.0000000000000001E-5</v>
      </c>
      <c r="I225" s="99">
        <v>1.0000000000000001E-5</v>
      </c>
      <c r="J225" s="99">
        <v>1.0000000000000001E-5</v>
      </c>
      <c r="K225" s="99">
        <v>1.0000000000000001E-5</v>
      </c>
      <c r="L225" s="99">
        <f>0.00001 * 2 / 3</f>
        <v>6.6666666666666675E-6</v>
      </c>
      <c r="M225" s="99">
        <v>1.0000000000000001E-5</v>
      </c>
      <c r="N225" s="99">
        <v>1.0000000000000001E-5</v>
      </c>
    </row>
    <row r="226" spans="1:15" x14ac:dyDescent="0.25">
      <c r="A226" s="2" t="s">
        <v>538</v>
      </c>
      <c r="B226" s="3" t="s">
        <v>471</v>
      </c>
      <c r="C226" s="2" t="s">
        <v>487</v>
      </c>
      <c r="D226" s="2" t="s">
        <v>532</v>
      </c>
      <c r="E226" s="96" t="s">
        <v>551</v>
      </c>
      <c r="F226" s="96" t="s">
        <v>506</v>
      </c>
      <c r="G226" s="99">
        <f>0.84*(0.36^2)</f>
        <v>0.10886399999999999</v>
      </c>
      <c r="H226" s="83">
        <f t="shared" ref="H226:M226" si="21">0.84*(0.36^2)</f>
        <v>0.10886399999999999</v>
      </c>
      <c r="I226" s="83">
        <f t="shared" si="21"/>
        <v>0.10886399999999999</v>
      </c>
      <c r="J226" s="83">
        <f t="shared" si="21"/>
        <v>0.10886399999999999</v>
      </c>
      <c r="K226" s="83">
        <f t="shared" si="21"/>
        <v>0.10886399999999999</v>
      </c>
      <c r="L226" s="83">
        <f t="shared" si="21"/>
        <v>0.10886399999999999</v>
      </c>
      <c r="M226" s="83">
        <f t="shared" si="21"/>
        <v>0.10886399999999999</v>
      </c>
      <c r="O226" s="1" t="b">
        <f t="shared" si="17"/>
        <v>1</v>
      </c>
    </row>
    <row r="227" spans="1:15" x14ac:dyDescent="0.25">
      <c r="A227" s="2" t="s">
        <v>539</v>
      </c>
      <c r="B227" s="3" t="s">
        <v>471</v>
      </c>
      <c r="C227" s="2" t="s">
        <v>487</v>
      </c>
      <c r="D227" s="2" t="s">
        <v>532</v>
      </c>
      <c r="E227" s="96" t="s">
        <v>552</v>
      </c>
      <c r="F227" s="96" t="s">
        <v>495</v>
      </c>
      <c r="G227" s="100">
        <v>0.2</v>
      </c>
      <c r="H227" s="83">
        <v>0.2</v>
      </c>
      <c r="I227" s="83">
        <v>0.2</v>
      </c>
      <c r="J227" s="83">
        <v>0.2</v>
      </c>
      <c r="K227" s="83">
        <v>0.2</v>
      </c>
      <c r="L227" s="83">
        <v>0.2</v>
      </c>
      <c r="M227" s="83">
        <v>0.2</v>
      </c>
      <c r="O227" s="1" t="b">
        <f t="shared" si="17"/>
        <v>1</v>
      </c>
    </row>
    <row r="228" spans="1:15" x14ac:dyDescent="0.25">
      <c r="A228" s="2" t="s">
        <v>540</v>
      </c>
      <c r="B228" s="3" t="s">
        <v>471</v>
      </c>
      <c r="C228" s="2" t="s">
        <v>487</v>
      </c>
      <c r="D228" s="2" t="s">
        <v>532</v>
      </c>
      <c r="E228" s="96" t="s">
        <v>553</v>
      </c>
      <c r="F228" s="96" t="s">
        <v>510</v>
      </c>
      <c r="G228" s="100" t="s">
        <v>476</v>
      </c>
      <c r="H228" s="83" t="s">
        <v>476</v>
      </c>
      <c r="I228" s="83" t="s">
        <v>476</v>
      </c>
      <c r="J228" s="83" t="s">
        <v>476</v>
      </c>
      <c r="K228" s="83" t="s">
        <v>476</v>
      </c>
      <c r="L228" s="83" t="s">
        <v>476</v>
      </c>
      <c r="M228" s="83" t="s">
        <v>476</v>
      </c>
      <c r="O228" s="1" t="b">
        <f t="shared" si="17"/>
        <v>1</v>
      </c>
    </row>
    <row r="229" spans="1:15" x14ac:dyDescent="0.25">
      <c r="A229" s="2" t="s">
        <v>541</v>
      </c>
      <c r="B229" s="3" t="s">
        <v>471</v>
      </c>
      <c r="C229" s="2" t="s">
        <v>487</v>
      </c>
      <c r="D229" s="2" t="s">
        <v>532</v>
      </c>
      <c r="E229" s="96" t="s">
        <v>554</v>
      </c>
      <c r="F229" s="96" t="s">
        <v>510</v>
      </c>
      <c r="G229" s="100">
        <f>2*0.1</f>
        <v>0.2</v>
      </c>
      <c r="H229" s="83">
        <f t="shared" ref="H229:M229" si="22">2*0.1</f>
        <v>0.2</v>
      </c>
      <c r="I229" s="83">
        <f t="shared" si="22"/>
        <v>0.2</v>
      </c>
      <c r="J229" s="83">
        <f t="shared" si="22"/>
        <v>0.2</v>
      </c>
      <c r="K229" s="83">
        <f t="shared" si="22"/>
        <v>0.2</v>
      </c>
      <c r="L229" s="83">
        <f t="shared" si="22"/>
        <v>0.2</v>
      </c>
      <c r="M229" s="83">
        <f t="shared" si="22"/>
        <v>0.2</v>
      </c>
      <c r="O229" s="1" t="b">
        <f t="shared" si="17"/>
        <v>1</v>
      </c>
    </row>
    <row r="230" spans="1:15" x14ac:dyDescent="0.25">
      <c r="A230" s="2" t="s">
        <v>542</v>
      </c>
      <c r="B230" s="3" t="s">
        <v>471</v>
      </c>
      <c r="C230" s="2" t="s">
        <v>487</v>
      </c>
      <c r="D230" s="2" t="s">
        <v>532</v>
      </c>
      <c r="E230" s="96" t="s">
        <v>555</v>
      </c>
      <c r="F230" s="96" t="s">
        <v>510</v>
      </c>
      <c r="G230" s="100">
        <v>1E-3</v>
      </c>
      <c r="H230" s="83">
        <v>1E-3</v>
      </c>
      <c r="I230" s="83">
        <v>1E-3</v>
      </c>
      <c r="J230" s="83">
        <v>1E-3</v>
      </c>
      <c r="K230" s="83">
        <v>1E-3</v>
      </c>
      <c r="L230" s="83">
        <v>1E-3</v>
      </c>
      <c r="M230" s="83">
        <v>1E-3</v>
      </c>
      <c r="O230" s="1" t="b">
        <f t="shared" si="17"/>
        <v>1</v>
      </c>
    </row>
    <row r="231" spans="1:15" x14ac:dyDescent="0.25">
      <c r="A231" s="2" t="s">
        <v>543</v>
      </c>
      <c r="B231" s="3" t="s">
        <v>471</v>
      </c>
      <c r="C231" s="2" t="s">
        <v>487</v>
      </c>
      <c r="D231" s="2" t="s">
        <v>532</v>
      </c>
      <c r="E231" s="96" t="s">
        <v>556</v>
      </c>
      <c r="F231" s="96" t="s">
        <v>510</v>
      </c>
      <c r="G231" s="98">
        <v>1.0000000000000001E-5</v>
      </c>
      <c r="H231" s="83">
        <v>1.0000000000000001E-5</v>
      </c>
      <c r="I231" s="83">
        <v>1.0000000000000001E-5</v>
      </c>
      <c r="J231" s="83">
        <v>1.0000000000000001E-5</v>
      </c>
      <c r="K231" s="83">
        <f>0.00001 / 2</f>
        <v>5.0000000000000004E-6</v>
      </c>
      <c r="L231" s="83">
        <f>0.00001 / 2 / 3</f>
        <v>1.6666666666666669E-6</v>
      </c>
      <c r="M231" s="83">
        <f>0.00001 / 2</f>
        <v>5.0000000000000004E-6</v>
      </c>
      <c r="N231" s="1">
        <f>0.00001 / 2</f>
        <v>5.0000000000000004E-6</v>
      </c>
      <c r="O231" s="1" t="b">
        <f t="shared" si="17"/>
        <v>0</v>
      </c>
    </row>
    <row r="232" spans="1:15" x14ac:dyDescent="0.25">
      <c r="A232" s="2" t="s">
        <v>566</v>
      </c>
      <c r="B232" s="3" t="s">
        <v>471</v>
      </c>
      <c r="C232" s="3" t="s">
        <v>487</v>
      </c>
      <c r="D232" s="3" t="s">
        <v>532</v>
      </c>
      <c r="E232" s="30" t="s">
        <v>558</v>
      </c>
      <c r="F232" s="30" t="s">
        <v>559</v>
      </c>
      <c r="G232" s="83">
        <f t="shared" ref="G232:J232" si="23">0.00002 / 14 / 5</f>
        <v>2.8571428571428575E-7</v>
      </c>
      <c r="H232" s="83">
        <f t="shared" si="23"/>
        <v>2.8571428571428575E-7</v>
      </c>
      <c r="I232" s="83">
        <v>0</v>
      </c>
      <c r="J232" s="83">
        <f t="shared" si="23"/>
        <v>2.8571428571428575E-7</v>
      </c>
      <c r="K232" s="83">
        <v>0</v>
      </c>
      <c r="L232" s="83">
        <v>0</v>
      </c>
      <c r="M232" s="83">
        <v>0</v>
      </c>
      <c r="O232" s="1" t="b">
        <f t="shared" si="17"/>
        <v>1</v>
      </c>
    </row>
    <row r="233" spans="1:15" x14ac:dyDescent="0.25">
      <c r="A233" s="2" t="s">
        <v>567</v>
      </c>
      <c r="B233" s="3" t="s">
        <v>471</v>
      </c>
      <c r="C233" s="3" t="s">
        <v>487</v>
      </c>
      <c r="D233" s="3" t="s">
        <v>532</v>
      </c>
      <c r="E233" s="30" t="s">
        <v>558</v>
      </c>
      <c r="F233" s="30" t="s">
        <v>559</v>
      </c>
      <c r="G233" s="83">
        <f t="shared" ref="G233:M233" si="24">0.00002 / 14 / 5 /10</f>
        <v>2.8571428571428575E-8</v>
      </c>
      <c r="H233" s="83">
        <f t="shared" si="24"/>
        <v>2.8571428571428575E-8</v>
      </c>
      <c r="I233" s="83">
        <f t="shared" si="24"/>
        <v>2.8571428571428575E-8</v>
      </c>
      <c r="J233" s="83">
        <f t="shared" si="24"/>
        <v>2.8571428571428575E-8</v>
      </c>
      <c r="K233" s="83">
        <f t="shared" si="24"/>
        <v>2.8571428571428575E-8</v>
      </c>
      <c r="L233" s="83">
        <v>0</v>
      </c>
      <c r="M233" s="83">
        <f t="shared" si="24"/>
        <v>2.8571428571428575E-8</v>
      </c>
      <c r="O233" s="1" t="b">
        <f t="shared" si="17"/>
        <v>0</v>
      </c>
    </row>
  </sheetData>
  <conditionalFormatting sqref="G232:I23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3:M233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M12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M210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M211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M212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M213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M214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M215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M218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M221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M222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6:M226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7:M231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N223 H224:M224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2:K2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2:M233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7:Q12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9:Q129 H129:N129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0:Q130 H130:M130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2:Q132 H132:N132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3:Q133 H133:M133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8:Q138 H138:N138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4:Q144 H144:M14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0:Q160 H160:M160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6:Q166 H166:M166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2025-03-26T14:55:56Z</dcterms:modified>
</cp:coreProperties>
</file>