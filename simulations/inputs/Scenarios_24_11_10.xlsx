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2483\home\torisuten\package\Wheat-BRIDGES\Root_BRIDGES\simulations\inputs\"/>
    </mc:Choice>
  </mc:AlternateContent>
  <xr:revisionPtr revIDLastSave="0" documentId="13_ncr:1_{FBFA639B-7CD0-4676-B02A-AD5B173D00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2" i="2" l="1"/>
  <c r="M231" i="2"/>
  <c r="M229" i="2"/>
  <c r="M226" i="2"/>
  <c r="M225" i="2"/>
  <c r="M224" i="2"/>
  <c r="M223" i="2"/>
  <c r="M222" i="2"/>
  <c r="M221" i="2"/>
  <c r="M220" i="2"/>
  <c r="M219" i="2"/>
  <c r="M218" i="2"/>
  <c r="M216" i="2"/>
  <c r="M212" i="2"/>
  <c r="M210" i="2"/>
  <c r="M138" i="2"/>
  <c r="M132" i="2"/>
  <c r="M130" i="2"/>
  <c r="M129" i="2"/>
  <c r="M120" i="2"/>
  <c r="M119" i="2"/>
  <c r="M117" i="2"/>
  <c r="M116" i="2"/>
  <c r="M110" i="2"/>
  <c r="M109" i="2"/>
  <c r="M108" i="2"/>
  <c r="M107" i="2"/>
  <c r="M75" i="2"/>
  <c r="N107" i="2"/>
  <c r="N108" i="2"/>
  <c r="N109" i="2"/>
  <c r="N110" i="2"/>
  <c r="N116" i="2"/>
  <c r="N117" i="2"/>
  <c r="N119" i="2"/>
  <c r="N120" i="2"/>
  <c r="N130" i="2"/>
  <c r="N132" i="2"/>
  <c r="N210" i="2"/>
  <c r="N212" i="2"/>
  <c r="N216" i="2"/>
  <c r="N218" i="2"/>
  <c r="N219" i="2"/>
  <c r="N220" i="2"/>
  <c r="N221" i="2"/>
  <c r="N222" i="2"/>
  <c r="N223" i="2"/>
  <c r="N226" i="2"/>
  <c r="N229" i="2"/>
  <c r="N231" i="2"/>
  <c r="N232" i="2"/>
  <c r="N234" i="2"/>
  <c r="L219" i="2"/>
  <c r="L231" i="2"/>
  <c r="L232" i="2"/>
  <c r="K232" i="2"/>
  <c r="L220" i="2"/>
  <c r="L225" i="2"/>
  <c r="L132" i="2"/>
  <c r="L129" i="2"/>
  <c r="O231" i="2" l="1"/>
  <c r="L223" i="2"/>
  <c r="L222" i="2"/>
  <c r="L224" i="2"/>
  <c r="G224" i="2"/>
  <c r="L138" i="2"/>
  <c r="P129" i="2"/>
  <c r="O138" i="2"/>
  <c r="P132" i="2"/>
  <c r="O132" i="2"/>
  <c r="O129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11" i="2"/>
  <c r="P112" i="2"/>
  <c r="P113" i="2"/>
  <c r="P114" i="2"/>
  <c r="P115" i="2"/>
  <c r="P118" i="2"/>
  <c r="P121" i="2"/>
  <c r="P122" i="2"/>
  <c r="P123" i="2"/>
  <c r="P124" i="2"/>
  <c r="P125" i="2"/>
  <c r="P126" i="2"/>
  <c r="P127" i="2"/>
  <c r="P128" i="2"/>
  <c r="P131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1" i="2"/>
  <c r="P213" i="2"/>
  <c r="P214" i="2"/>
  <c r="P215" i="2"/>
  <c r="P217" i="2"/>
  <c r="P227" i="2"/>
  <c r="P228" i="2"/>
  <c r="P230" i="2"/>
  <c r="P233" i="2"/>
  <c r="P2" i="2"/>
  <c r="L75" i="2"/>
  <c r="P75" i="2" s="1"/>
  <c r="P223" i="2"/>
  <c r="K234" i="2" l="1"/>
  <c r="K231" i="2"/>
  <c r="K229" i="2"/>
  <c r="K226" i="2"/>
  <c r="K222" i="2"/>
  <c r="K221" i="2"/>
  <c r="K220" i="2"/>
  <c r="K219" i="2"/>
  <c r="K218" i="2"/>
  <c r="K216" i="2"/>
  <c r="K212" i="2"/>
  <c r="K210" i="2"/>
  <c r="K138" i="2"/>
  <c r="K132" i="2"/>
  <c r="K130" i="2"/>
  <c r="K129" i="2"/>
  <c r="K120" i="2"/>
  <c r="K119" i="2"/>
  <c r="K117" i="2"/>
  <c r="K116" i="2"/>
  <c r="K110" i="2"/>
  <c r="K109" i="2"/>
  <c r="K108" i="2"/>
  <c r="K107" i="2"/>
  <c r="P220" i="2"/>
  <c r="L221" i="2" l="1"/>
  <c r="P221" i="2" s="1"/>
  <c r="P219" i="2"/>
  <c r="P231" i="2" l="1"/>
  <c r="P222" i="2"/>
  <c r="L210" i="2"/>
  <c r="P210" i="2" s="1"/>
  <c r="G107" i="2" l="1"/>
  <c r="H107" i="2"/>
  <c r="I107" i="2"/>
  <c r="J107" i="2"/>
  <c r="L107" i="2"/>
  <c r="P107" i="2" s="1"/>
  <c r="G108" i="2"/>
  <c r="H108" i="2"/>
  <c r="I108" i="2"/>
  <c r="J108" i="2"/>
  <c r="L108" i="2"/>
  <c r="P108" i="2" s="1"/>
  <c r="G109" i="2"/>
  <c r="H109" i="2"/>
  <c r="I109" i="2"/>
  <c r="J109" i="2"/>
  <c r="L109" i="2"/>
  <c r="P109" i="2" s="1"/>
  <c r="G110" i="2"/>
  <c r="H110" i="2"/>
  <c r="I110" i="2"/>
  <c r="J110" i="2"/>
  <c r="L110" i="2"/>
  <c r="P110" i="2" s="1"/>
  <c r="G116" i="2"/>
  <c r="H116" i="2"/>
  <c r="I116" i="2"/>
  <c r="J116" i="2"/>
  <c r="L116" i="2"/>
  <c r="P116" i="2" s="1"/>
  <c r="G117" i="2"/>
  <c r="H117" i="2"/>
  <c r="I117" i="2"/>
  <c r="J117" i="2"/>
  <c r="L117" i="2"/>
  <c r="P117" i="2" s="1"/>
  <c r="G119" i="2"/>
  <c r="H119" i="2"/>
  <c r="I119" i="2"/>
  <c r="J119" i="2"/>
  <c r="L119" i="2"/>
  <c r="P119" i="2" s="1"/>
  <c r="G120" i="2"/>
  <c r="H120" i="2"/>
  <c r="I120" i="2"/>
  <c r="J120" i="2"/>
  <c r="L120" i="2"/>
  <c r="P120" i="2" s="1"/>
  <c r="H124" i="2"/>
  <c r="H129" i="2"/>
  <c r="I129" i="2"/>
  <c r="J129" i="2"/>
  <c r="H130" i="2"/>
  <c r="I130" i="2"/>
  <c r="J130" i="2"/>
  <c r="L130" i="2"/>
  <c r="P130" i="2" s="1"/>
  <c r="H210" i="2"/>
  <c r="I210" i="2"/>
  <c r="J210" i="2"/>
  <c r="H212" i="2"/>
  <c r="I212" i="2"/>
  <c r="L212" i="2"/>
  <c r="P212" i="2" s="1"/>
  <c r="G216" i="2"/>
  <c r="H216" i="2"/>
  <c r="I216" i="2"/>
  <c r="J216" i="2"/>
  <c r="L216" i="2"/>
  <c r="P216" i="2" s="1"/>
  <c r="I218" i="2"/>
  <c r="L218" i="2"/>
  <c r="P218" i="2" s="1"/>
  <c r="H219" i="2"/>
  <c r="I219" i="2"/>
  <c r="J219" i="2"/>
  <c r="H222" i="2"/>
  <c r="I222" i="2"/>
  <c r="J222" i="2"/>
  <c r="G223" i="2"/>
  <c r="G226" i="2"/>
  <c r="H226" i="2"/>
  <c r="I226" i="2"/>
  <c r="J226" i="2"/>
  <c r="L226" i="2"/>
  <c r="P226" i="2" s="1"/>
  <c r="G229" i="2"/>
  <c r="H229" i="2"/>
  <c r="I229" i="2"/>
  <c r="J229" i="2"/>
  <c r="L229" i="2"/>
  <c r="P229" i="2" s="1"/>
  <c r="G233" i="2"/>
  <c r="H233" i="2"/>
  <c r="J233" i="2"/>
  <c r="G234" i="2"/>
  <c r="H234" i="2"/>
  <c r="I234" i="2"/>
  <c r="J234" i="2"/>
  <c r="P234" i="2"/>
  <c r="Q129" i="2" l="1"/>
  <c r="R129" i="2"/>
  <c r="Q130" i="2"/>
  <c r="R13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<sst xmlns="http://schemas.openxmlformats.org/spreadsheetml/2006/main" count="2118" uniqueCount="586">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</sst>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34"/>
  <sheetViews>
    <sheetView tabSelected="1" zoomScale="89" workbookViewId="0">
      <pane xSplit="1" ySplit="1" topLeftCell="J199" activePane="bottomRight" state="frozen"/>
      <selection pane="topRight" activeCell="B1" sqref="B1"/>
      <selection pane="bottomLeft" activeCell="A2" sqref="A2"/>
      <selection pane="bottomRight" activeCell="M2" sqref="M2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8" width="39.85546875" style="1" customWidth="1"/>
  </cols>
  <sheetData>
    <row r="1" spans="1:18" s="1" customFormat="1" x14ac:dyDescent="0.25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K1" s="97" t="s">
        <v>575</v>
      </c>
      <c r="L1" s="97" t="s">
        <v>568</v>
      </c>
      <c r="M1" s="97" t="s">
        <v>585</v>
      </c>
      <c r="N1" s="97" t="s">
        <v>576</v>
      </c>
      <c r="O1" s="1" t="s">
        <v>570</v>
      </c>
      <c r="P1" s="1" t="s">
        <v>578</v>
      </c>
      <c r="Q1" s="97" t="s">
        <v>522</v>
      </c>
      <c r="R1" s="97" t="s">
        <v>523</v>
      </c>
    </row>
    <row r="2" spans="1:18" s="1" customFormat="1" x14ac:dyDescent="0.25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K2" s="36" t="s">
        <v>476</v>
      </c>
      <c r="L2" s="36" t="s">
        <v>476</v>
      </c>
      <c r="M2" s="36" t="s">
        <v>476</v>
      </c>
      <c r="N2" s="36" t="s">
        <v>476</v>
      </c>
      <c r="P2" s="1" t="b">
        <f>L2=N2</f>
        <v>1</v>
      </c>
      <c r="Q2" s="36" t="s">
        <v>528</v>
      </c>
      <c r="R2" s="36" t="s">
        <v>476</v>
      </c>
    </row>
    <row r="3" spans="1:18" s="1" customFormat="1" ht="38.450000000000003" customHeight="1" x14ac:dyDescent="0.25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K3" s="36" t="s">
        <v>573</v>
      </c>
      <c r="L3" s="36" t="s">
        <v>577</v>
      </c>
      <c r="M3" s="36" t="s">
        <v>577</v>
      </c>
      <c r="N3" s="36" t="s">
        <v>577</v>
      </c>
      <c r="P3" s="1" t="b">
        <f t="shared" ref="P3:P66" si="0">L3=N3</f>
        <v>1</v>
      </c>
      <c r="Q3" s="36" t="s">
        <v>489</v>
      </c>
      <c r="R3" s="36" t="s">
        <v>489</v>
      </c>
    </row>
    <row r="4" spans="1:18" s="1" customFormat="1" ht="15" customHeight="1" x14ac:dyDescent="0.25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K4" s="36" t="s">
        <v>482</v>
      </c>
      <c r="L4" s="36" t="s">
        <v>482</v>
      </c>
      <c r="M4" s="36" t="s">
        <v>482</v>
      </c>
      <c r="N4" s="36" t="s">
        <v>482</v>
      </c>
      <c r="P4" s="1" t="b">
        <f t="shared" si="0"/>
        <v>1</v>
      </c>
      <c r="Q4" s="36" t="s">
        <v>482</v>
      </c>
      <c r="R4" s="36" t="s">
        <v>482</v>
      </c>
    </row>
    <row r="5" spans="1:18" s="1" customFormat="1" ht="15" customHeight="1" x14ac:dyDescent="0.25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K5" s="36" t="s">
        <v>482</v>
      </c>
      <c r="L5" s="36" t="s">
        <v>482</v>
      </c>
      <c r="M5" s="36" t="s">
        <v>482</v>
      </c>
      <c r="N5" s="36" t="s">
        <v>482</v>
      </c>
      <c r="P5" s="1" t="b">
        <f t="shared" si="0"/>
        <v>1</v>
      </c>
      <c r="Q5" s="36" t="s">
        <v>494</v>
      </c>
      <c r="R5" s="36" t="s">
        <v>494</v>
      </c>
    </row>
    <row r="6" spans="1:18" s="1" customFormat="1" ht="39.6" customHeight="1" x14ac:dyDescent="0.25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K6" s="36" t="s">
        <v>573</v>
      </c>
      <c r="L6" s="36" t="s">
        <v>577</v>
      </c>
      <c r="M6" s="36" t="s">
        <v>577</v>
      </c>
      <c r="N6" s="36" t="s">
        <v>577</v>
      </c>
      <c r="P6" s="1" t="b">
        <f t="shared" si="0"/>
        <v>1</v>
      </c>
      <c r="Q6" s="36" t="s">
        <v>521</v>
      </c>
      <c r="R6" s="36" t="s">
        <v>521</v>
      </c>
    </row>
    <row r="7" spans="1:18" s="1" customFormat="1" ht="15" customHeight="1" x14ac:dyDescent="0.25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K7" s="36" t="s">
        <v>494</v>
      </c>
      <c r="L7" s="36" t="s">
        <v>494</v>
      </c>
      <c r="M7" s="36" t="s">
        <v>494</v>
      </c>
      <c r="N7" s="36" t="s">
        <v>494</v>
      </c>
      <c r="P7" s="1" t="b">
        <f t="shared" si="0"/>
        <v>1</v>
      </c>
      <c r="Q7" s="36" t="s">
        <v>494</v>
      </c>
      <c r="R7" s="36" t="s">
        <v>494</v>
      </c>
    </row>
    <row r="8" spans="1:18" s="1" customFormat="1" ht="15" customHeight="1" x14ac:dyDescent="0.25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N8" s="36">
        <v>0</v>
      </c>
      <c r="P8" s="1" t="b">
        <f t="shared" si="0"/>
        <v>1</v>
      </c>
      <c r="Q8" s="36">
        <v>0</v>
      </c>
      <c r="R8" s="36">
        <v>0</v>
      </c>
    </row>
    <row r="9" spans="1:18" x14ac:dyDescent="0.25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 t="s">
        <v>87</v>
      </c>
      <c r="M9" s="77" t="s">
        <v>87</v>
      </c>
      <c r="N9" s="77" t="s">
        <v>87</v>
      </c>
      <c r="P9" s="1" t="b">
        <f t="shared" si="0"/>
        <v>1</v>
      </c>
      <c r="Q9" s="77" t="s">
        <v>87</v>
      </c>
      <c r="R9" s="77" t="s">
        <v>87</v>
      </c>
    </row>
    <row r="10" spans="1:18" x14ac:dyDescent="0.25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>
        <v>1</v>
      </c>
      <c r="M10" s="77">
        <v>1</v>
      </c>
      <c r="N10" s="77">
        <v>1</v>
      </c>
      <c r="P10" s="1" t="b">
        <f t="shared" si="0"/>
        <v>1</v>
      </c>
      <c r="Q10" s="77">
        <v>1</v>
      </c>
      <c r="R10" s="77">
        <v>1</v>
      </c>
    </row>
    <row r="11" spans="1:18" x14ac:dyDescent="0.25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 t="s">
        <v>88</v>
      </c>
      <c r="M11" s="77" t="s">
        <v>88</v>
      </c>
      <c r="N11" s="77" t="s">
        <v>88</v>
      </c>
      <c r="P11" s="1" t="b">
        <f t="shared" si="0"/>
        <v>1</v>
      </c>
      <c r="Q11" s="77" t="s">
        <v>88</v>
      </c>
      <c r="R11" s="77" t="s">
        <v>88</v>
      </c>
    </row>
    <row r="12" spans="1:18" x14ac:dyDescent="0.25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>
        <v>180</v>
      </c>
      <c r="M12" s="85">
        <v>180</v>
      </c>
      <c r="N12" s="85">
        <v>180</v>
      </c>
      <c r="P12" s="1" t="b">
        <f t="shared" si="0"/>
        <v>1</v>
      </c>
      <c r="Q12" s="85">
        <v>180</v>
      </c>
      <c r="R12" s="85">
        <v>180</v>
      </c>
    </row>
    <row r="13" spans="1:18" x14ac:dyDescent="0.25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>
        <v>4.1666666999999998E-2</v>
      </c>
      <c r="M13" s="78">
        <v>4.1666666999999998E-2</v>
      </c>
      <c r="N13" s="78">
        <v>4.1666666999999998E-2</v>
      </c>
      <c r="P13" s="1" t="b">
        <f t="shared" si="0"/>
        <v>1</v>
      </c>
      <c r="Q13" s="78">
        <v>4.1666666999999998E-2</v>
      </c>
      <c r="R13" s="78">
        <v>4.1666666999999998E-2</v>
      </c>
    </row>
    <row r="14" spans="1:18" x14ac:dyDescent="0.25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>
        <v>4.1666666999999998E-2</v>
      </c>
      <c r="M14" s="79">
        <v>4.1666666999999998E-2</v>
      </c>
      <c r="N14" s="79">
        <v>4.1666666999999998E-2</v>
      </c>
      <c r="P14" s="1" t="b">
        <f t="shared" si="0"/>
        <v>1</v>
      </c>
      <c r="Q14" s="79">
        <v>4.1666666999999998E-2</v>
      </c>
      <c r="R14" s="79">
        <v>4.1666666999999998E-2</v>
      </c>
    </row>
    <row r="15" spans="1:18" x14ac:dyDescent="0.25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>
        <v>1</v>
      </c>
      <c r="M15" s="77">
        <v>1</v>
      </c>
      <c r="N15" s="77">
        <v>1</v>
      </c>
      <c r="P15" s="1" t="b">
        <f t="shared" si="0"/>
        <v>1</v>
      </c>
      <c r="Q15" s="77">
        <v>1</v>
      </c>
      <c r="R15" s="77">
        <v>1</v>
      </c>
    </row>
    <row r="16" spans="1:18" x14ac:dyDescent="0.25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>
        <v>0</v>
      </c>
      <c r="M16" s="77">
        <v>0</v>
      </c>
      <c r="N16" s="77">
        <v>0</v>
      </c>
      <c r="P16" s="1" t="b">
        <f t="shared" si="0"/>
        <v>1</v>
      </c>
      <c r="Q16" s="77">
        <v>0</v>
      </c>
      <c r="R16" s="77">
        <v>0</v>
      </c>
    </row>
    <row r="17" spans="1:18" x14ac:dyDescent="0.25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 t="s">
        <v>88</v>
      </c>
      <c r="M17" s="77" t="s">
        <v>88</v>
      </c>
      <c r="N17" s="77" t="s">
        <v>88</v>
      </c>
      <c r="P17" s="1" t="b">
        <f t="shared" si="0"/>
        <v>1</v>
      </c>
      <c r="Q17" s="77" t="s">
        <v>88</v>
      </c>
      <c r="R17" s="77" t="s">
        <v>88</v>
      </c>
    </row>
    <row r="18" spans="1:18" x14ac:dyDescent="0.25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>
        <v>5.0000000000000001E-9</v>
      </c>
      <c r="M18" s="80">
        <v>5.0000000000000001E-9</v>
      </c>
      <c r="N18" s="80">
        <v>5.0000000000000001E-9</v>
      </c>
      <c r="P18" s="1" t="b">
        <f t="shared" si="0"/>
        <v>1</v>
      </c>
      <c r="Q18" s="80">
        <v>5.0000000000000001E-9</v>
      </c>
      <c r="R18" s="80">
        <v>5.0000000000000001E-9</v>
      </c>
    </row>
    <row r="19" spans="1:18" x14ac:dyDescent="0.25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>
        <v>10</v>
      </c>
      <c r="M19" s="77">
        <v>10</v>
      </c>
      <c r="N19" s="77">
        <v>10</v>
      </c>
      <c r="P19" s="1" t="b">
        <f t="shared" si="0"/>
        <v>1</v>
      </c>
      <c r="Q19" s="77">
        <v>10</v>
      </c>
      <c r="R19" s="77">
        <v>10</v>
      </c>
    </row>
    <row r="20" spans="1:18" x14ac:dyDescent="0.25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 t="s">
        <v>88</v>
      </c>
      <c r="M20" s="77" t="s">
        <v>88</v>
      </c>
      <c r="N20" s="77" t="s">
        <v>88</v>
      </c>
      <c r="P20" s="1" t="b">
        <f t="shared" si="0"/>
        <v>1</v>
      </c>
      <c r="Q20" s="77" t="s">
        <v>88</v>
      </c>
      <c r="R20" s="77" t="s">
        <v>88</v>
      </c>
    </row>
    <row r="21" spans="1:18" x14ac:dyDescent="0.25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 t="s">
        <v>88</v>
      </c>
      <c r="M21" s="77" t="s">
        <v>88</v>
      </c>
      <c r="N21" s="77" t="s">
        <v>88</v>
      </c>
      <c r="P21" s="1" t="b">
        <f t="shared" si="0"/>
        <v>1</v>
      </c>
      <c r="Q21" s="77" t="s">
        <v>88</v>
      </c>
      <c r="R21" s="77" t="s">
        <v>88</v>
      </c>
    </row>
    <row r="22" spans="1:18" x14ac:dyDescent="0.25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 t="s">
        <v>88</v>
      </c>
      <c r="M22" s="77" t="s">
        <v>88</v>
      </c>
      <c r="N22" s="77" t="s">
        <v>88</v>
      </c>
      <c r="P22" s="1" t="b">
        <f t="shared" si="0"/>
        <v>1</v>
      </c>
      <c r="Q22" s="77" t="s">
        <v>88</v>
      </c>
      <c r="R22" s="77" t="s">
        <v>88</v>
      </c>
    </row>
    <row r="23" spans="1:18" x14ac:dyDescent="0.25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>
        <v>86400</v>
      </c>
      <c r="M23" s="77">
        <v>86400</v>
      </c>
      <c r="N23" s="77">
        <v>86400</v>
      </c>
      <c r="P23" s="1" t="b">
        <f t="shared" si="0"/>
        <v>1</v>
      </c>
      <c r="Q23" s="77">
        <v>86400</v>
      </c>
      <c r="R23" s="77">
        <v>86400</v>
      </c>
    </row>
    <row r="24" spans="1:18" x14ac:dyDescent="0.25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 t="s">
        <v>87</v>
      </c>
      <c r="M24" s="77" t="s">
        <v>87</v>
      </c>
      <c r="N24" s="77" t="s">
        <v>87</v>
      </c>
      <c r="P24" s="1" t="b">
        <f t="shared" si="0"/>
        <v>1</v>
      </c>
      <c r="Q24" s="77" t="s">
        <v>87</v>
      </c>
      <c r="R24" s="77" t="s">
        <v>87</v>
      </c>
    </row>
    <row r="25" spans="1:18" x14ac:dyDescent="0.25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>
        <v>3</v>
      </c>
      <c r="M25" s="77">
        <v>3</v>
      </c>
      <c r="N25" s="77">
        <v>3</v>
      </c>
      <c r="P25" s="1" t="b">
        <f t="shared" si="0"/>
        <v>1</v>
      </c>
      <c r="Q25" s="77">
        <v>3</v>
      </c>
      <c r="R25" s="77">
        <v>3</v>
      </c>
    </row>
    <row r="26" spans="1:18" x14ac:dyDescent="0.25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 t="s">
        <v>88</v>
      </c>
      <c r="M26" s="81" t="s">
        <v>88</v>
      </c>
      <c r="N26" s="81" t="s">
        <v>88</v>
      </c>
      <c r="P26" s="1" t="b">
        <f t="shared" si="0"/>
        <v>1</v>
      </c>
      <c r="Q26" s="81" t="s">
        <v>88</v>
      </c>
      <c r="R26" s="81" t="s">
        <v>88</v>
      </c>
    </row>
    <row r="27" spans="1:18" x14ac:dyDescent="0.25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 t="s">
        <v>88</v>
      </c>
      <c r="M27" s="81" t="s">
        <v>88</v>
      </c>
      <c r="N27" s="81" t="s">
        <v>88</v>
      </c>
      <c r="P27" s="1" t="b">
        <f t="shared" si="0"/>
        <v>1</v>
      </c>
      <c r="Q27" s="81" t="s">
        <v>88</v>
      </c>
      <c r="R27" s="81" t="s">
        <v>88</v>
      </c>
    </row>
    <row r="28" spans="1:18" x14ac:dyDescent="0.25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 t="s">
        <v>88</v>
      </c>
      <c r="M28" s="77" t="s">
        <v>88</v>
      </c>
      <c r="N28" s="77" t="s">
        <v>88</v>
      </c>
      <c r="P28" s="1" t="b">
        <f t="shared" si="0"/>
        <v>1</v>
      </c>
      <c r="Q28" s="77" t="s">
        <v>88</v>
      </c>
      <c r="R28" s="77" t="s">
        <v>88</v>
      </c>
    </row>
    <row r="29" spans="1:18" x14ac:dyDescent="0.25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 t="s">
        <v>88</v>
      </c>
      <c r="M29" s="81" t="s">
        <v>88</v>
      </c>
      <c r="N29" s="81" t="s">
        <v>88</v>
      </c>
      <c r="P29" s="1" t="b">
        <f t="shared" si="0"/>
        <v>1</v>
      </c>
      <c r="Q29" s="81" t="s">
        <v>88</v>
      </c>
      <c r="R29" s="81" t="s">
        <v>88</v>
      </c>
    </row>
    <row r="30" spans="1:18" x14ac:dyDescent="0.25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 t="s">
        <v>88</v>
      </c>
      <c r="M30" s="81" t="s">
        <v>88</v>
      </c>
      <c r="N30" s="81" t="s">
        <v>88</v>
      </c>
      <c r="P30" s="1" t="b">
        <f t="shared" si="0"/>
        <v>1</v>
      </c>
      <c r="Q30" s="81" t="s">
        <v>88</v>
      </c>
      <c r="R30" s="81" t="s">
        <v>88</v>
      </c>
    </row>
    <row r="31" spans="1:18" x14ac:dyDescent="0.25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 t="s">
        <v>88</v>
      </c>
      <c r="M31" s="77" t="s">
        <v>88</v>
      </c>
      <c r="N31" s="77" t="s">
        <v>88</v>
      </c>
      <c r="P31" s="1" t="b">
        <f t="shared" si="0"/>
        <v>1</v>
      </c>
      <c r="Q31" s="77" t="s">
        <v>88</v>
      </c>
      <c r="R31" s="77" t="s">
        <v>88</v>
      </c>
    </row>
    <row r="32" spans="1:18" x14ac:dyDescent="0.25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>
        <v>0.33</v>
      </c>
      <c r="M32" s="77">
        <v>0.33</v>
      </c>
      <c r="N32" s="77">
        <v>0.33</v>
      </c>
      <c r="P32" s="1" t="b">
        <f t="shared" si="0"/>
        <v>1</v>
      </c>
      <c r="Q32" s="77">
        <v>0.33</v>
      </c>
      <c r="R32" s="77">
        <v>0.33</v>
      </c>
    </row>
    <row r="33" spans="1:18" x14ac:dyDescent="0.25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 t="s">
        <v>88</v>
      </c>
      <c r="M33" s="77" t="s">
        <v>88</v>
      </c>
      <c r="N33" s="77" t="s">
        <v>88</v>
      </c>
      <c r="P33" s="1" t="b">
        <f t="shared" si="0"/>
        <v>1</v>
      </c>
      <c r="Q33" s="77" t="s">
        <v>88</v>
      </c>
      <c r="R33" s="77" t="s">
        <v>88</v>
      </c>
    </row>
    <row r="34" spans="1:18" x14ac:dyDescent="0.25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 t="s">
        <v>88</v>
      </c>
      <c r="M34" s="77" t="s">
        <v>88</v>
      </c>
      <c r="N34" s="77" t="s">
        <v>88</v>
      </c>
      <c r="P34" s="1" t="b">
        <f t="shared" si="0"/>
        <v>1</v>
      </c>
      <c r="Q34" s="77" t="s">
        <v>88</v>
      </c>
      <c r="R34" s="77" t="s">
        <v>88</v>
      </c>
    </row>
    <row r="35" spans="1:18" x14ac:dyDescent="0.25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 t="s">
        <v>88</v>
      </c>
      <c r="M35" s="77" t="s">
        <v>88</v>
      </c>
      <c r="N35" s="77" t="s">
        <v>88</v>
      </c>
      <c r="P35" s="1" t="b">
        <f t="shared" si="0"/>
        <v>1</v>
      </c>
      <c r="Q35" s="77" t="s">
        <v>88</v>
      </c>
      <c r="R35" s="77" t="s">
        <v>88</v>
      </c>
    </row>
    <row r="36" spans="1:18" x14ac:dyDescent="0.25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 t="s">
        <v>87</v>
      </c>
      <c r="M36" s="77" t="s">
        <v>87</v>
      </c>
      <c r="N36" s="77" t="s">
        <v>87</v>
      </c>
      <c r="P36" s="1" t="b">
        <f t="shared" si="0"/>
        <v>1</v>
      </c>
      <c r="Q36" s="77" t="s">
        <v>87</v>
      </c>
      <c r="R36" s="77" t="s">
        <v>87</v>
      </c>
    </row>
    <row r="37" spans="1:18" x14ac:dyDescent="0.25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K37" s="85" t="s">
        <v>433</v>
      </c>
      <c r="L37" s="85" t="s">
        <v>433</v>
      </c>
      <c r="M37" s="85" t="s">
        <v>433</v>
      </c>
      <c r="N37" s="85" t="s">
        <v>433</v>
      </c>
      <c r="P37" s="1" t="b">
        <f t="shared" si="0"/>
        <v>1</v>
      </c>
      <c r="Q37" s="85" t="s">
        <v>433</v>
      </c>
      <c r="R37" s="85" t="s">
        <v>433</v>
      </c>
    </row>
    <row r="38" spans="1:18" x14ac:dyDescent="0.25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>
        <v>9.9999999999999995E-7</v>
      </c>
      <c r="M38" s="80">
        <v>9.9999999999999995E-7</v>
      </c>
      <c r="N38" s="80">
        <v>9.9999999999999995E-7</v>
      </c>
      <c r="P38" s="1" t="b">
        <f t="shared" si="0"/>
        <v>1</v>
      </c>
      <c r="Q38" s="80">
        <v>9.9999999999999995E-7</v>
      </c>
      <c r="R38" s="80">
        <v>9.9999999999999995E-7</v>
      </c>
    </row>
    <row r="39" spans="1:18" x14ac:dyDescent="0.25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>
        <v>1E-3</v>
      </c>
      <c r="M39" s="86">
        <v>1E-3</v>
      </c>
      <c r="N39" s="86">
        <v>1E-3</v>
      </c>
      <c r="P39" s="1" t="b">
        <f t="shared" si="0"/>
        <v>1</v>
      </c>
      <c r="Q39" s="86">
        <v>1E-3</v>
      </c>
      <c r="R39" s="86">
        <v>1E-3</v>
      </c>
    </row>
    <row r="40" spans="1:18" x14ac:dyDescent="0.25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 t="s">
        <v>87</v>
      </c>
      <c r="M40" s="77" t="s">
        <v>87</v>
      </c>
      <c r="N40" s="77" t="s">
        <v>87</v>
      </c>
      <c r="P40" s="1" t="b">
        <f t="shared" si="0"/>
        <v>1</v>
      </c>
      <c r="Q40" s="77" t="s">
        <v>87</v>
      </c>
      <c r="R40" s="77" t="s">
        <v>87</v>
      </c>
    </row>
    <row r="41" spans="1:18" x14ac:dyDescent="0.25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 t="s">
        <v>89</v>
      </c>
      <c r="M41" s="77" t="s">
        <v>89</v>
      </c>
      <c r="N41" s="77" t="s">
        <v>89</v>
      </c>
      <c r="P41" s="1" t="b">
        <f t="shared" si="0"/>
        <v>1</v>
      </c>
      <c r="Q41" s="77" t="s">
        <v>89</v>
      </c>
      <c r="R41" s="77" t="s">
        <v>89</v>
      </c>
    </row>
    <row r="42" spans="1:18" x14ac:dyDescent="0.25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 t="s">
        <v>87</v>
      </c>
      <c r="M42" s="77" t="s">
        <v>87</v>
      </c>
      <c r="N42" s="77" t="s">
        <v>87</v>
      </c>
      <c r="P42" s="1" t="b">
        <f t="shared" si="0"/>
        <v>1</v>
      </c>
      <c r="Q42" s="77" t="s">
        <v>87</v>
      </c>
      <c r="R42" s="77" t="s">
        <v>87</v>
      </c>
    </row>
    <row r="43" spans="1:18" x14ac:dyDescent="0.25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 t="s">
        <v>88</v>
      </c>
      <c r="M43" s="77" t="s">
        <v>88</v>
      </c>
      <c r="N43" s="77" t="s">
        <v>88</v>
      </c>
      <c r="P43" s="1" t="b">
        <f t="shared" si="0"/>
        <v>1</v>
      </c>
      <c r="Q43" s="77" t="s">
        <v>88</v>
      </c>
      <c r="R43" s="77" t="s">
        <v>88</v>
      </c>
    </row>
    <row r="44" spans="1:18" x14ac:dyDescent="0.25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>
        <v>120</v>
      </c>
      <c r="M44" s="77">
        <v>120</v>
      </c>
      <c r="N44" s="77">
        <v>120</v>
      </c>
      <c r="P44" s="1" t="b">
        <f t="shared" si="0"/>
        <v>1</v>
      </c>
      <c r="Q44" s="77">
        <v>120</v>
      </c>
      <c r="R44" s="77">
        <v>120</v>
      </c>
    </row>
    <row r="45" spans="1:18" x14ac:dyDescent="0.25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>
        <v>0</v>
      </c>
      <c r="M45" s="77">
        <v>0</v>
      </c>
      <c r="N45" s="77">
        <v>0</v>
      </c>
      <c r="P45" s="1" t="b">
        <f t="shared" si="0"/>
        <v>1</v>
      </c>
      <c r="Q45" s="77">
        <v>0</v>
      </c>
      <c r="R45" s="77">
        <v>0</v>
      </c>
    </row>
    <row r="46" spans="1:18" x14ac:dyDescent="0.25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>
        <v>0</v>
      </c>
      <c r="M46" s="77">
        <v>0</v>
      </c>
      <c r="N46" s="77">
        <v>0</v>
      </c>
      <c r="P46" s="1" t="b">
        <f t="shared" si="0"/>
        <v>1</v>
      </c>
      <c r="Q46" s="77">
        <v>0</v>
      </c>
      <c r="R46" s="77">
        <v>0</v>
      </c>
    </row>
    <row r="47" spans="1:18" x14ac:dyDescent="0.25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>
        <v>-0.1</v>
      </c>
      <c r="M47" s="77">
        <v>-0.1</v>
      </c>
      <c r="N47" s="77">
        <v>-0.1</v>
      </c>
      <c r="P47" s="1" t="b">
        <f t="shared" si="0"/>
        <v>1</v>
      </c>
      <c r="Q47" s="77">
        <v>-0.1</v>
      </c>
      <c r="R47" s="77">
        <v>-0.1</v>
      </c>
    </row>
    <row r="48" spans="1:18" x14ac:dyDescent="0.25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>
        <v>-0.2</v>
      </c>
      <c r="M48" s="77">
        <v>-0.2</v>
      </c>
      <c r="N48" s="77">
        <v>-0.2</v>
      </c>
      <c r="P48" s="1" t="b">
        <f t="shared" si="0"/>
        <v>1</v>
      </c>
      <c r="Q48" s="77">
        <v>-0.2</v>
      </c>
      <c r="R48" s="77">
        <v>-0.2</v>
      </c>
    </row>
    <row r="49" spans="1:18" x14ac:dyDescent="0.25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>
        <v>0.4</v>
      </c>
      <c r="M49" s="77">
        <v>0.4</v>
      </c>
      <c r="N49" s="77">
        <v>0.4</v>
      </c>
      <c r="P49" s="1" t="b">
        <f t="shared" si="0"/>
        <v>1</v>
      </c>
      <c r="Q49" s="77">
        <v>0.4</v>
      </c>
      <c r="R49" s="77">
        <v>0.4</v>
      </c>
    </row>
    <row r="50" spans="1:18" x14ac:dyDescent="0.25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>
        <v>0</v>
      </c>
      <c r="M50" s="77">
        <v>0</v>
      </c>
      <c r="N50" s="77">
        <v>0</v>
      </c>
      <c r="P50" s="1" t="b">
        <f t="shared" si="0"/>
        <v>1</v>
      </c>
      <c r="Q50" s="77">
        <v>0</v>
      </c>
      <c r="R50" s="77">
        <v>0</v>
      </c>
    </row>
    <row r="51" spans="1:18" x14ac:dyDescent="0.25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>
        <v>1200</v>
      </c>
      <c r="M51" s="77">
        <v>1200</v>
      </c>
      <c r="N51" s="77">
        <v>1200</v>
      </c>
      <c r="P51" s="1" t="b">
        <f t="shared" si="0"/>
        <v>1</v>
      </c>
      <c r="Q51" s="77">
        <v>1200</v>
      </c>
      <c r="R51" s="77">
        <v>1200</v>
      </c>
    </row>
    <row r="52" spans="1:18" x14ac:dyDescent="0.25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>
        <v>1200</v>
      </c>
      <c r="M52" s="77">
        <v>1200</v>
      </c>
      <c r="N52" s="77">
        <v>1200</v>
      </c>
      <c r="P52" s="1" t="b">
        <f t="shared" si="0"/>
        <v>1</v>
      </c>
      <c r="Q52" s="77">
        <v>1200</v>
      </c>
      <c r="R52" s="77">
        <v>1200</v>
      </c>
    </row>
    <row r="53" spans="1:18" x14ac:dyDescent="0.25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K53" s="35" t="s">
        <v>460</v>
      </c>
      <c r="L53" s="35" t="s">
        <v>460</v>
      </c>
      <c r="M53" s="35" t="s">
        <v>460</v>
      </c>
      <c r="N53" s="35" t="s">
        <v>460</v>
      </c>
      <c r="P53" s="1" t="b">
        <f t="shared" si="0"/>
        <v>1</v>
      </c>
      <c r="Q53" s="35" t="s">
        <v>460</v>
      </c>
      <c r="R53" s="35" t="s">
        <v>460</v>
      </c>
    </row>
    <row r="54" spans="1:18" x14ac:dyDescent="0.25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 t="s">
        <v>87</v>
      </c>
      <c r="M54" s="77" t="s">
        <v>87</v>
      </c>
      <c r="N54" s="77" t="s">
        <v>87</v>
      </c>
      <c r="P54" s="1" t="b">
        <f t="shared" si="0"/>
        <v>1</v>
      </c>
      <c r="Q54" s="77" t="s">
        <v>87</v>
      </c>
      <c r="R54" s="77" t="s">
        <v>87</v>
      </c>
    </row>
    <row r="55" spans="1:18" x14ac:dyDescent="0.25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 t="s">
        <v>87</v>
      </c>
      <c r="M55" s="77" t="s">
        <v>87</v>
      </c>
      <c r="N55" s="77" t="s">
        <v>87</v>
      </c>
      <c r="P55" s="1" t="b">
        <f t="shared" si="0"/>
        <v>1</v>
      </c>
      <c r="Q55" s="77" t="s">
        <v>87</v>
      </c>
      <c r="R55" s="77" t="s">
        <v>87</v>
      </c>
    </row>
    <row r="56" spans="1:18" x14ac:dyDescent="0.25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>
        <v>0</v>
      </c>
      <c r="M56" s="77">
        <v>0</v>
      </c>
      <c r="N56" s="77">
        <v>0</v>
      </c>
      <c r="P56" s="1" t="b">
        <f t="shared" si="0"/>
        <v>1</v>
      </c>
      <c r="Q56" s="77">
        <v>0</v>
      </c>
      <c r="R56" s="77">
        <v>0</v>
      </c>
    </row>
    <row r="57" spans="1:18" x14ac:dyDescent="0.25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>
        <v>0.5</v>
      </c>
      <c r="M57" s="77">
        <v>0.5</v>
      </c>
      <c r="N57" s="77">
        <v>0.5</v>
      </c>
      <c r="P57" s="1" t="b">
        <f t="shared" si="0"/>
        <v>1</v>
      </c>
      <c r="Q57" s="77">
        <v>0.5</v>
      </c>
      <c r="R57" s="77">
        <v>0.5</v>
      </c>
    </row>
    <row r="58" spans="1:18" x14ac:dyDescent="0.25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>
        <v>0.05</v>
      </c>
      <c r="M58" s="77">
        <v>0.05</v>
      </c>
      <c r="N58" s="77">
        <v>0.05</v>
      </c>
      <c r="P58" s="1" t="b">
        <f t="shared" si="0"/>
        <v>1</v>
      </c>
      <c r="Q58" s="77">
        <v>0.05</v>
      </c>
      <c r="R58" s="77">
        <v>0.05</v>
      </c>
    </row>
    <row r="59" spans="1:18" x14ac:dyDescent="0.25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>
        <v>1E-3</v>
      </c>
      <c r="M59" s="80">
        <v>1E-3</v>
      </c>
      <c r="N59" s="80">
        <v>1E-3</v>
      </c>
      <c r="P59" s="1" t="b">
        <f t="shared" si="0"/>
        <v>1</v>
      </c>
      <c r="Q59" s="80">
        <v>1E-3</v>
      </c>
      <c r="R59" s="80">
        <v>1E-3</v>
      </c>
    </row>
    <row r="60" spans="1:18" x14ac:dyDescent="0.25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>
        <v>0</v>
      </c>
      <c r="M60" s="77">
        <v>0</v>
      </c>
      <c r="N60" s="77">
        <v>0</v>
      </c>
      <c r="P60" s="1" t="b">
        <f t="shared" si="0"/>
        <v>1</v>
      </c>
      <c r="Q60" s="77">
        <v>0</v>
      </c>
      <c r="R60" s="77">
        <v>0</v>
      </c>
    </row>
    <row r="61" spans="1:18" x14ac:dyDescent="0.25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>
        <v>1E-4</v>
      </c>
      <c r="M61" s="77">
        <v>1E-4</v>
      </c>
      <c r="N61" s="77">
        <v>1E-4</v>
      </c>
      <c r="P61" s="1" t="b">
        <f t="shared" si="0"/>
        <v>1</v>
      </c>
      <c r="Q61" s="77">
        <v>1E-4</v>
      </c>
      <c r="R61" s="77">
        <v>1E-4</v>
      </c>
    </row>
    <row r="62" spans="1:18" x14ac:dyDescent="0.25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>
        <v>1E-4</v>
      </c>
      <c r="M62" s="77">
        <v>1E-4</v>
      </c>
      <c r="N62" s="77">
        <v>1E-4</v>
      </c>
      <c r="P62" s="1" t="b">
        <f t="shared" si="0"/>
        <v>1</v>
      </c>
      <c r="Q62" s="77">
        <v>1E-4</v>
      </c>
      <c r="R62" s="77">
        <v>1E-4</v>
      </c>
    </row>
    <row r="63" spans="1:18" x14ac:dyDescent="0.25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>
        <v>6.9999999999999999E-4</v>
      </c>
      <c r="M63" s="77">
        <v>6.9999999999999999E-4</v>
      </c>
      <c r="N63" s="77">
        <v>6.9999999999999999E-4</v>
      </c>
      <c r="P63" s="1" t="b">
        <f t="shared" si="0"/>
        <v>1</v>
      </c>
      <c r="Q63" s="77">
        <v>6.9999999999999999E-4</v>
      </c>
      <c r="R63" s="77">
        <v>6.9999999999999999E-4</v>
      </c>
    </row>
    <row r="64" spans="1:18" x14ac:dyDescent="0.25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>
        <v>1.22E-4</v>
      </c>
      <c r="M64" s="77">
        <v>1.22E-4</v>
      </c>
      <c r="N64" s="77">
        <v>1.22E-4</v>
      </c>
      <c r="P64" s="1" t="b">
        <f t="shared" si="0"/>
        <v>1</v>
      </c>
      <c r="Q64" s="77">
        <v>1.22E-4</v>
      </c>
      <c r="R64" s="77">
        <v>1.22E-4</v>
      </c>
    </row>
    <row r="65" spans="1:18" x14ac:dyDescent="0.25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>
        <v>1</v>
      </c>
      <c r="M65" s="77">
        <v>1</v>
      </c>
      <c r="N65" s="77">
        <v>1</v>
      </c>
      <c r="P65" s="1" t="b">
        <f t="shared" si="0"/>
        <v>1</v>
      </c>
      <c r="Q65" s="77">
        <v>1</v>
      </c>
      <c r="R65" s="77">
        <v>1</v>
      </c>
    </row>
    <row r="66" spans="1:18" x14ac:dyDescent="0.25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>
        <v>0.95</v>
      </c>
      <c r="M66" s="77">
        <v>0.95</v>
      </c>
      <c r="N66" s="77">
        <v>0.95</v>
      </c>
      <c r="P66" s="1" t="b">
        <f t="shared" si="0"/>
        <v>1</v>
      </c>
      <c r="Q66" s="77">
        <v>0.95</v>
      </c>
      <c r="R66" s="77">
        <v>0.95</v>
      </c>
    </row>
    <row r="67" spans="1:18" x14ac:dyDescent="0.25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 t="s">
        <v>88</v>
      </c>
      <c r="M67" s="77" t="s">
        <v>88</v>
      </c>
      <c r="N67" s="77" t="s">
        <v>88</v>
      </c>
      <c r="P67" s="1" t="b">
        <f t="shared" ref="P67:P130" si="1">L67=N67</f>
        <v>1</v>
      </c>
      <c r="Q67" s="77" t="s">
        <v>88</v>
      </c>
      <c r="R67" s="77" t="s">
        <v>88</v>
      </c>
    </row>
    <row r="68" spans="1:18" x14ac:dyDescent="0.25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>
        <v>5</v>
      </c>
      <c r="M68" s="77">
        <v>5</v>
      </c>
      <c r="N68" s="77">
        <v>5</v>
      </c>
      <c r="P68" s="1" t="b">
        <f t="shared" si="1"/>
        <v>1</v>
      </c>
      <c r="Q68" s="77">
        <v>5</v>
      </c>
      <c r="R68" s="77">
        <v>5</v>
      </c>
    </row>
    <row r="69" spans="1:18" x14ac:dyDescent="0.25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 t="s">
        <v>88</v>
      </c>
      <c r="M69" s="77" t="s">
        <v>88</v>
      </c>
      <c r="N69" s="77" t="s">
        <v>88</v>
      </c>
      <c r="P69" s="1" t="b">
        <f t="shared" si="1"/>
        <v>1</v>
      </c>
      <c r="Q69" s="77" t="s">
        <v>88</v>
      </c>
      <c r="R69" s="77" t="s">
        <v>88</v>
      </c>
    </row>
    <row r="70" spans="1:18" x14ac:dyDescent="0.25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>
        <v>50</v>
      </c>
      <c r="M70" s="77">
        <v>50</v>
      </c>
      <c r="N70" s="77">
        <v>50</v>
      </c>
      <c r="P70" s="1" t="b">
        <f t="shared" si="1"/>
        <v>1</v>
      </c>
      <c r="Q70" s="77">
        <v>50</v>
      </c>
      <c r="R70" s="77">
        <v>50</v>
      </c>
    </row>
    <row r="71" spans="1:18" x14ac:dyDescent="0.25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>
        <v>1453890.8941884842</v>
      </c>
      <c r="M71" s="78">
        <v>1453890.8941884842</v>
      </c>
      <c r="N71" s="78">
        <v>1453890.8941884842</v>
      </c>
      <c r="P71" s="1" t="b">
        <f t="shared" si="1"/>
        <v>1</v>
      </c>
      <c r="Q71" s="78">
        <v>1453890.8941884842</v>
      </c>
      <c r="R71" s="78">
        <v>1453890.8941884842</v>
      </c>
    </row>
    <row r="72" spans="1:18" x14ac:dyDescent="0.25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>
        <v>1.3888888888888888E-5</v>
      </c>
      <c r="M72" s="78">
        <v>1.3888888888888888E-5</v>
      </c>
      <c r="N72" s="78">
        <v>1.3888888888888888E-5</v>
      </c>
      <c r="P72" s="1" t="b">
        <f t="shared" si="1"/>
        <v>1</v>
      </c>
      <c r="Q72" s="78">
        <v>1.3888888888888888E-5</v>
      </c>
      <c r="R72" s="78">
        <v>1.3888888888888888E-5</v>
      </c>
    </row>
    <row r="73" spans="1:18" x14ac:dyDescent="0.25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>
        <v>6.5011574074074071E-4</v>
      </c>
      <c r="M73" s="79">
        <v>6.5011574074074071E-4</v>
      </c>
      <c r="N73" s="79">
        <v>6.5011574074074071E-4</v>
      </c>
      <c r="P73" s="1" t="b">
        <f t="shared" si="1"/>
        <v>1</v>
      </c>
      <c r="Q73" s="79">
        <v>6.5011574074074071E-4</v>
      </c>
      <c r="R73" s="79">
        <v>6.5011574074074071E-4</v>
      </c>
    </row>
    <row r="74" spans="1:18" x14ac:dyDescent="0.25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>
        <v>4.7400000000000003E-3</v>
      </c>
      <c r="M74" s="85">
        <v>4.7400000000000003E-3</v>
      </c>
      <c r="N74" s="85">
        <v>4.7400000000000003E-3</v>
      </c>
      <c r="P74" s="1" t="b">
        <f t="shared" si="1"/>
        <v>1</v>
      </c>
      <c r="Q74" s="85">
        <v>4.7400000000000003E-3</v>
      </c>
      <c r="R74" s="85">
        <v>4.7400000000000003E-3</v>
      </c>
    </row>
    <row r="75" spans="1:18" x14ac:dyDescent="0.25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>
        <f>282528</f>
        <v>282528</v>
      </c>
      <c r="M75" s="79">
        <f>282528</f>
        <v>282528</v>
      </c>
      <c r="N75" s="79">
        <v>282528</v>
      </c>
      <c r="P75" s="1" t="b">
        <f t="shared" si="1"/>
        <v>1</v>
      </c>
      <c r="Q75" s="79">
        <v>282528</v>
      </c>
      <c r="R75" s="79">
        <v>282528</v>
      </c>
    </row>
    <row r="76" spans="1:18" x14ac:dyDescent="0.25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>
        <v>0.56999999999999995</v>
      </c>
      <c r="M76" s="85">
        <v>0.56999999999999995</v>
      </c>
      <c r="N76" s="85">
        <v>0.56999999999999995</v>
      </c>
      <c r="P76" s="1" t="b">
        <f t="shared" si="1"/>
        <v>1</v>
      </c>
      <c r="Q76" s="85">
        <v>0.56999999999999995</v>
      </c>
      <c r="R76" s="85">
        <v>0.56999999999999995</v>
      </c>
    </row>
    <row r="77" spans="1:18" x14ac:dyDescent="0.25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>
        <v>0.16</v>
      </c>
      <c r="M77" s="87">
        <v>0.16</v>
      </c>
      <c r="N77" s="87">
        <v>0.16</v>
      </c>
      <c r="P77" s="1" t="b">
        <f t="shared" si="1"/>
        <v>1</v>
      </c>
      <c r="Q77" s="87">
        <v>0.16</v>
      </c>
      <c r="R77" s="87">
        <v>0.16</v>
      </c>
    </row>
    <row r="78" spans="1:18" x14ac:dyDescent="0.25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>
        <v>0</v>
      </c>
      <c r="M78" s="77">
        <v>0</v>
      </c>
      <c r="N78" s="77">
        <v>0</v>
      </c>
      <c r="P78" s="1" t="b">
        <f t="shared" si="1"/>
        <v>1</v>
      </c>
      <c r="Q78" s="77">
        <v>0</v>
      </c>
      <c r="R78" s="77">
        <v>0</v>
      </c>
    </row>
    <row r="79" spans="1:18" x14ac:dyDescent="0.25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>
        <v>745476480000</v>
      </c>
      <c r="M79" s="78">
        <v>745476480000</v>
      </c>
      <c r="N79" s="78">
        <v>745476480000</v>
      </c>
      <c r="P79" s="1" t="b">
        <f t="shared" si="1"/>
        <v>1</v>
      </c>
      <c r="Q79" s="78">
        <v>745476480000</v>
      </c>
      <c r="R79" s="78">
        <v>745476480000</v>
      </c>
    </row>
    <row r="80" spans="1:18" x14ac:dyDescent="0.25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>
        <v>100</v>
      </c>
      <c r="M80" s="77">
        <v>100</v>
      </c>
      <c r="N80" s="77">
        <v>100</v>
      </c>
      <c r="P80" s="1" t="b">
        <f t="shared" si="1"/>
        <v>1</v>
      </c>
      <c r="Q80" s="77">
        <v>100</v>
      </c>
      <c r="R80" s="77">
        <v>100</v>
      </c>
    </row>
    <row r="81" spans="1:18" x14ac:dyDescent="0.25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 t="s">
        <v>87</v>
      </c>
      <c r="M81" s="77" t="s">
        <v>87</v>
      </c>
      <c r="N81" s="77" t="s">
        <v>87</v>
      </c>
      <c r="P81" s="1" t="b">
        <f t="shared" si="1"/>
        <v>1</v>
      </c>
      <c r="Q81" s="77" t="s">
        <v>88</v>
      </c>
      <c r="R81" s="77" t="s">
        <v>88</v>
      </c>
    </row>
    <row r="82" spans="1:18" x14ac:dyDescent="0.25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>
        <v>21600</v>
      </c>
      <c r="M82" s="85">
        <v>21600</v>
      </c>
      <c r="N82" s="85">
        <v>21600</v>
      </c>
      <c r="P82" s="1" t="b">
        <f t="shared" si="1"/>
        <v>1</v>
      </c>
      <c r="Q82" s="85">
        <v>21600</v>
      </c>
      <c r="R82" s="85">
        <v>21600</v>
      </c>
    </row>
    <row r="83" spans="1:18" x14ac:dyDescent="0.25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>
        <v>0.5</v>
      </c>
      <c r="M83" s="77">
        <v>0.5</v>
      </c>
      <c r="N83" s="77">
        <v>0.5</v>
      </c>
      <c r="P83" s="1" t="b">
        <f t="shared" si="1"/>
        <v>1</v>
      </c>
      <c r="Q83" s="77">
        <v>0.5</v>
      </c>
      <c r="R83" s="77">
        <v>0.5</v>
      </c>
    </row>
    <row r="84" spans="1:18" x14ac:dyDescent="0.25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>
        <v>60479.999999999993</v>
      </c>
      <c r="M84" s="85">
        <v>60479.999999999993</v>
      </c>
      <c r="N84" s="85">
        <v>60479.999999999993</v>
      </c>
      <c r="P84" s="1" t="b">
        <f t="shared" si="1"/>
        <v>1</v>
      </c>
      <c r="Q84" s="85">
        <v>60479.999999999993</v>
      </c>
      <c r="R84" s="85">
        <v>60479.999999999993</v>
      </c>
    </row>
    <row r="85" spans="1:18" x14ac:dyDescent="0.25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>
        <v>0.85</v>
      </c>
      <c r="M85" s="77">
        <v>0.85</v>
      </c>
      <c r="N85" s="77">
        <v>0.85</v>
      </c>
      <c r="P85" s="1" t="b">
        <f t="shared" si="1"/>
        <v>1</v>
      </c>
      <c r="Q85" s="77">
        <v>0.85</v>
      </c>
      <c r="R85" s="77">
        <v>0.85</v>
      </c>
    </row>
    <row r="86" spans="1:18" x14ac:dyDescent="0.25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>
        <v>518400</v>
      </c>
      <c r="M86" s="77">
        <v>518400</v>
      </c>
      <c r="N86" s="77">
        <v>518400</v>
      </c>
      <c r="P86" s="1" t="b">
        <f t="shared" si="1"/>
        <v>1</v>
      </c>
      <c r="Q86" s="77">
        <v>518400</v>
      </c>
      <c r="R86" s="77">
        <v>518400</v>
      </c>
    </row>
    <row r="87" spans="1:18" x14ac:dyDescent="0.25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>
        <v>5184000</v>
      </c>
      <c r="M87" s="77">
        <v>5184000</v>
      </c>
      <c r="N87" s="77">
        <v>5184000</v>
      </c>
      <c r="P87" s="1" t="b">
        <f t="shared" si="1"/>
        <v>1</v>
      </c>
      <c r="Q87" s="77">
        <v>5184000</v>
      </c>
      <c r="R87" s="77">
        <v>5184000</v>
      </c>
    </row>
    <row r="88" spans="1:18" x14ac:dyDescent="0.25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>
        <v>50000</v>
      </c>
      <c r="M88" s="86">
        <v>50000</v>
      </c>
      <c r="N88" s="86">
        <v>50000</v>
      </c>
      <c r="P88" s="1" t="b">
        <f t="shared" si="1"/>
        <v>1</v>
      </c>
      <c r="Q88" s="86">
        <v>50000</v>
      </c>
      <c r="R88" s="86">
        <v>50000</v>
      </c>
    </row>
    <row r="89" spans="1:18" x14ac:dyDescent="0.25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>
        <v>140000</v>
      </c>
      <c r="M89" s="77">
        <v>140000</v>
      </c>
      <c r="N89" s="77">
        <v>140000</v>
      </c>
      <c r="P89" s="1" t="b">
        <f t="shared" si="1"/>
        <v>1</v>
      </c>
      <c r="Q89" s="77">
        <v>140000</v>
      </c>
      <c r="R89" s="77">
        <v>140000</v>
      </c>
    </row>
    <row r="90" spans="1:18" x14ac:dyDescent="0.25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>
        <v>3.6636136999999999E-2</v>
      </c>
      <c r="M90" s="78">
        <v>3.6636136999999999E-2</v>
      </c>
      <c r="N90" s="78">
        <v>3.6636136999999999E-2</v>
      </c>
      <c r="P90" s="1" t="b">
        <f t="shared" si="1"/>
        <v>1</v>
      </c>
      <c r="Q90" s="78">
        <v>3.6636136999999999E-2</v>
      </c>
      <c r="R90" s="78">
        <v>3.6636136999999999E-2</v>
      </c>
    </row>
    <row r="91" spans="1:18" x14ac:dyDescent="0.25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>
        <v>4.4999999999999997E-3</v>
      </c>
      <c r="M91" s="77">
        <v>4.4999999999999997E-3</v>
      </c>
      <c r="N91" s="77">
        <v>4.4999999999999997E-3</v>
      </c>
      <c r="P91" s="1" t="b">
        <f t="shared" si="1"/>
        <v>1</v>
      </c>
      <c r="Q91" s="77">
        <v>4.4999999999999997E-3</v>
      </c>
      <c r="R91" s="77">
        <v>4.4999999999999997E-3</v>
      </c>
    </row>
    <row r="92" spans="1:18" x14ac:dyDescent="0.25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>
        <v>0.05</v>
      </c>
      <c r="M92" s="77">
        <v>0.05</v>
      </c>
      <c r="N92" s="77">
        <v>0.05</v>
      </c>
      <c r="P92" s="1" t="b">
        <f t="shared" si="1"/>
        <v>1</v>
      </c>
      <c r="Q92" s="77">
        <v>0.05</v>
      </c>
      <c r="R92" s="77">
        <v>0.05</v>
      </c>
    </row>
    <row r="93" spans="1:18" x14ac:dyDescent="0.25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>
        <v>6.0000000000000002E-6</v>
      </c>
      <c r="M93" s="77">
        <v>6.0000000000000002E-6</v>
      </c>
      <c r="N93" s="77">
        <v>6.0000000000000002E-6</v>
      </c>
      <c r="P93" s="1" t="b">
        <f t="shared" si="1"/>
        <v>1</v>
      </c>
      <c r="Q93" s="77">
        <v>6.0000000000000002E-6</v>
      </c>
      <c r="R93" s="77">
        <v>6.0000000000000002E-6</v>
      </c>
    </row>
    <row r="94" spans="1:18" x14ac:dyDescent="0.25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>
        <v>1E-3</v>
      </c>
      <c r="M94" s="77">
        <v>1E-3</v>
      </c>
      <c r="N94" s="77">
        <v>1E-3</v>
      </c>
      <c r="P94" s="1" t="b">
        <f t="shared" si="1"/>
        <v>1</v>
      </c>
      <c r="Q94" s="77">
        <v>0</v>
      </c>
      <c r="R94" s="77">
        <v>0</v>
      </c>
    </row>
    <row r="95" spans="1:18" x14ac:dyDescent="0.25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>
        <v>374999999.99999994</v>
      </c>
      <c r="M95" s="77">
        <v>374999999.99999994</v>
      </c>
      <c r="N95" s="77">
        <v>374999999.99999994</v>
      </c>
      <c r="P95" s="1" t="b">
        <f t="shared" si="1"/>
        <v>1</v>
      </c>
      <c r="Q95" s="77">
        <v>374999999.99999994</v>
      </c>
      <c r="R95" s="77">
        <v>374999999.99999994</v>
      </c>
    </row>
    <row r="96" spans="1:18" x14ac:dyDescent="0.25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>
        <v>3.7037037037037038E-3</v>
      </c>
      <c r="M96" s="78">
        <v>3.7037037037037038E-3</v>
      </c>
      <c r="N96" s="78">
        <v>3.7037037037037038E-3</v>
      </c>
      <c r="P96" s="1" t="b">
        <f t="shared" si="1"/>
        <v>1</v>
      </c>
      <c r="Q96" s="78">
        <v>3.7037037037037038E-3</v>
      </c>
      <c r="R96" s="78">
        <v>3.7037037037037038E-3</v>
      </c>
    </row>
    <row r="97" spans="1:18" x14ac:dyDescent="0.25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>
        <v>165600</v>
      </c>
      <c r="M97" s="77">
        <v>165600</v>
      </c>
      <c r="N97" s="77">
        <v>165600</v>
      </c>
      <c r="P97" s="1" t="b">
        <f t="shared" si="1"/>
        <v>1</v>
      </c>
      <c r="Q97" s="77">
        <v>165600</v>
      </c>
      <c r="R97" s="77">
        <v>165600</v>
      </c>
    </row>
    <row r="98" spans="1:18" x14ac:dyDescent="0.25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>
        <v>20</v>
      </c>
      <c r="M98" s="77">
        <v>20</v>
      </c>
      <c r="N98" s="77">
        <v>20</v>
      </c>
      <c r="P98" s="1" t="b">
        <f t="shared" si="1"/>
        <v>1</v>
      </c>
      <c r="Q98" s="77">
        <v>20</v>
      </c>
      <c r="R98" s="77">
        <v>20</v>
      </c>
    </row>
    <row r="99" spans="1:18" x14ac:dyDescent="0.25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>
        <v>1</v>
      </c>
      <c r="M99" s="77">
        <v>1</v>
      </c>
      <c r="N99" s="77">
        <v>1</v>
      </c>
      <c r="P99" s="1" t="b">
        <f t="shared" si="1"/>
        <v>1</v>
      </c>
      <c r="Q99" s="77">
        <v>1</v>
      </c>
      <c r="R99" s="77">
        <v>1</v>
      </c>
    </row>
    <row r="100" spans="1:18" x14ac:dyDescent="0.25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>
        <v>21</v>
      </c>
      <c r="M100" s="77">
        <v>21</v>
      </c>
      <c r="N100" s="77">
        <v>21</v>
      </c>
      <c r="P100" s="1" t="b">
        <f t="shared" si="1"/>
        <v>1</v>
      </c>
      <c r="Q100" s="77">
        <v>21</v>
      </c>
      <c r="R100" s="77">
        <v>21</v>
      </c>
    </row>
    <row r="101" spans="1:18" x14ac:dyDescent="0.25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>
        <v>0.64</v>
      </c>
      <c r="M101" s="77">
        <v>0.64</v>
      </c>
      <c r="N101" s="77">
        <v>0.64</v>
      </c>
      <c r="P101" s="1" t="b">
        <f t="shared" si="1"/>
        <v>1</v>
      </c>
      <c r="Q101" s="77">
        <v>0.64</v>
      </c>
      <c r="R101" s="77">
        <v>0.64</v>
      </c>
    </row>
    <row r="102" spans="1:18" x14ac:dyDescent="0.25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>
        <v>8</v>
      </c>
      <c r="M102" s="77">
        <v>8</v>
      </c>
      <c r="N102" s="77">
        <v>8</v>
      </c>
      <c r="P102" s="1" t="b">
        <f t="shared" si="1"/>
        <v>1</v>
      </c>
      <c r="Q102" s="77">
        <v>8</v>
      </c>
      <c r="R102" s="77">
        <v>8</v>
      </c>
    </row>
    <row r="103" spans="1:18" x14ac:dyDescent="0.25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>
        <v>10</v>
      </c>
      <c r="M103" s="77">
        <v>10</v>
      </c>
      <c r="N103" s="77">
        <v>10</v>
      </c>
      <c r="P103" s="1" t="b">
        <f t="shared" si="1"/>
        <v>1</v>
      </c>
      <c r="Q103" s="77">
        <v>10</v>
      </c>
      <c r="R103" s="77">
        <v>10</v>
      </c>
    </row>
    <row r="104" spans="1:18" x14ac:dyDescent="0.25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>
        <v>8</v>
      </c>
      <c r="M104" s="77">
        <v>8</v>
      </c>
      <c r="N104" s="77">
        <v>8</v>
      </c>
      <c r="P104" s="1" t="b">
        <f t="shared" si="1"/>
        <v>1</v>
      </c>
      <c r="Q104" s="77">
        <v>8</v>
      </c>
      <c r="R104" s="77">
        <v>8</v>
      </c>
    </row>
    <row r="105" spans="1:18" x14ac:dyDescent="0.25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>
        <v>1</v>
      </c>
      <c r="M105" s="77">
        <v>1</v>
      </c>
      <c r="N105" s="77">
        <v>1</v>
      </c>
      <c r="P105" s="1" t="b">
        <f t="shared" si="1"/>
        <v>1</v>
      </c>
      <c r="Q105" s="77">
        <v>1</v>
      </c>
      <c r="R105" s="77">
        <v>1</v>
      </c>
    </row>
    <row r="106" spans="1:18" x14ac:dyDescent="0.25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>
        <v>0.5</v>
      </c>
      <c r="M106" s="77">
        <v>0.5</v>
      </c>
      <c r="N106" s="77">
        <v>0.5</v>
      </c>
      <c r="P106" s="1" t="b">
        <f t="shared" si="1"/>
        <v>1</v>
      </c>
      <c r="Q106" s="77">
        <v>0.5</v>
      </c>
      <c r="R106" s="77">
        <v>0.5</v>
      </c>
    </row>
    <row r="107" spans="1:18" x14ac:dyDescent="0.25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 t="shared" ref="G107:L107" si="2">G105</f>
        <v>1</v>
      </c>
      <c r="H107" s="58">
        <f t="shared" si="2"/>
        <v>1</v>
      </c>
      <c r="I107" s="58">
        <f t="shared" si="2"/>
        <v>1</v>
      </c>
      <c r="J107" s="58">
        <f t="shared" si="2"/>
        <v>1</v>
      </c>
      <c r="K107" s="58">
        <f t="shared" ref="K107" si="3">K105</f>
        <v>1</v>
      </c>
      <c r="L107" s="58">
        <f t="shared" si="2"/>
        <v>1</v>
      </c>
      <c r="M107" s="58">
        <f t="shared" ref="M107" si="4">M105</f>
        <v>1</v>
      </c>
      <c r="N107" s="58">
        <f t="shared" ref="N107" si="5">N105</f>
        <v>1</v>
      </c>
      <c r="P107" s="1" t="b">
        <f t="shared" si="1"/>
        <v>1</v>
      </c>
      <c r="Q107" s="58">
        <v>1</v>
      </c>
      <c r="R107" s="58">
        <v>1</v>
      </c>
    </row>
    <row r="108" spans="1:18" x14ac:dyDescent="0.25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 t="shared" ref="H108:N108" si="6">150*H105</f>
        <v>150</v>
      </c>
      <c r="I108" s="58">
        <f t="shared" si="6"/>
        <v>150</v>
      </c>
      <c r="J108" s="58">
        <f t="shared" si="6"/>
        <v>150</v>
      </c>
      <c r="K108" s="58">
        <f t="shared" si="6"/>
        <v>150</v>
      </c>
      <c r="L108" s="58">
        <f t="shared" si="6"/>
        <v>150</v>
      </c>
      <c r="M108" s="58">
        <f t="shared" ref="M108" si="7">150*M105</f>
        <v>150</v>
      </c>
      <c r="N108" s="58">
        <f t="shared" si="6"/>
        <v>150</v>
      </c>
      <c r="P108" s="1" t="b">
        <f t="shared" si="1"/>
        <v>1</v>
      </c>
      <c r="Q108" s="58">
        <v>150</v>
      </c>
      <c r="R108" s="58">
        <v>150</v>
      </c>
    </row>
    <row r="109" spans="1:18" x14ac:dyDescent="0.25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 t="shared" ref="G109:L109" si="8">G100</f>
        <v>21</v>
      </c>
      <c r="H109" s="58">
        <f t="shared" si="8"/>
        <v>21</v>
      </c>
      <c r="I109" s="58">
        <f t="shared" si="8"/>
        <v>21</v>
      </c>
      <c r="J109" s="58">
        <f t="shared" si="8"/>
        <v>21</v>
      </c>
      <c r="K109" s="58">
        <f t="shared" ref="K109" si="9">K100</f>
        <v>21</v>
      </c>
      <c r="L109" s="58">
        <f t="shared" si="8"/>
        <v>21</v>
      </c>
      <c r="M109" s="58">
        <f t="shared" ref="M109" si="10">M100</f>
        <v>21</v>
      </c>
      <c r="N109" s="58">
        <f t="shared" ref="N109" si="11">N100</f>
        <v>21</v>
      </c>
      <c r="P109" s="1" t="b">
        <f t="shared" si="1"/>
        <v>1</v>
      </c>
      <c r="Q109" s="58">
        <v>21</v>
      </c>
      <c r="R109" s="58">
        <v>21</v>
      </c>
    </row>
    <row r="110" spans="1:18" x14ac:dyDescent="0.25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 t="shared" ref="H110:N110" si="12">70*H100</f>
        <v>1470</v>
      </c>
      <c r="I110" s="58">
        <f t="shared" si="12"/>
        <v>1470</v>
      </c>
      <c r="J110" s="58">
        <f t="shared" si="12"/>
        <v>1470</v>
      </c>
      <c r="K110" s="58">
        <f t="shared" si="12"/>
        <v>1470</v>
      </c>
      <c r="L110" s="58">
        <f t="shared" si="12"/>
        <v>1470</v>
      </c>
      <c r="M110" s="58">
        <f t="shared" ref="M110" si="13">70*M100</f>
        <v>1470</v>
      </c>
      <c r="N110" s="58">
        <f t="shared" si="12"/>
        <v>1470</v>
      </c>
      <c r="P110" s="1" t="b">
        <f t="shared" si="1"/>
        <v>1</v>
      </c>
      <c r="Q110" s="58">
        <v>1470</v>
      </c>
      <c r="R110" s="58">
        <v>1470</v>
      </c>
    </row>
    <row r="111" spans="1:18" x14ac:dyDescent="0.25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>
        <v>0</v>
      </c>
      <c r="M111" s="77">
        <v>0</v>
      </c>
      <c r="N111" s="77">
        <v>0</v>
      </c>
      <c r="P111" s="1" t="b">
        <f t="shared" si="1"/>
        <v>1</v>
      </c>
      <c r="Q111" s="77">
        <v>0</v>
      </c>
      <c r="R111" s="77">
        <v>0</v>
      </c>
    </row>
    <row r="112" spans="1:18" x14ac:dyDescent="0.25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>
        <v>1589759.9999999998</v>
      </c>
      <c r="M112" s="82">
        <v>1589759.9999999998</v>
      </c>
      <c r="N112" s="82">
        <v>1589759.9999999998</v>
      </c>
      <c r="P112" s="1" t="b">
        <f t="shared" si="1"/>
        <v>1</v>
      </c>
      <c r="Q112" s="82">
        <v>1589759.9999999998</v>
      </c>
      <c r="R112" s="82">
        <v>1589759.9999999998</v>
      </c>
    </row>
    <row r="113" spans="1:18" x14ac:dyDescent="0.25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>
        <v>6171428.5714285718</v>
      </c>
      <c r="M113" s="82">
        <v>6171428.5714285718</v>
      </c>
      <c r="N113" s="82">
        <v>6171428.5714285718</v>
      </c>
      <c r="P113" s="1" t="b">
        <f t="shared" si="1"/>
        <v>1</v>
      </c>
      <c r="Q113" s="82">
        <v>6171428.5714285718</v>
      </c>
      <c r="R113" s="82">
        <v>6171428.5714285718</v>
      </c>
    </row>
    <row r="114" spans="1:18" x14ac:dyDescent="0.25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>
        <v>6171428.5714285718</v>
      </c>
      <c r="M114" s="82">
        <v>6171428.5714285718</v>
      </c>
      <c r="N114" s="82">
        <v>6171428.5714285718</v>
      </c>
      <c r="P114" s="1" t="b">
        <f t="shared" si="1"/>
        <v>1</v>
      </c>
      <c r="Q114" s="82">
        <v>6171428.5714285718</v>
      </c>
      <c r="R114" s="82">
        <v>6171428.5714285718</v>
      </c>
    </row>
    <row r="115" spans="1:18" x14ac:dyDescent="0.25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>
        <v>100</v>
      </c>
      <c r="M115" s="82">
        <v>100</v>
      </c>
      <c r="N115" s="82">
        <v>100</v>
      </c>
      <c r="P115" s="1" t="b">
        <f t="shared" si="1"/>
        <v>1</v>
      </c>
      <c r="Q115" s="82">
        <v>100</v>
      </c>
      <c r="R115" s="82">
        <v>100</v>
      </c>
    </row>
    <row r="116" spans="1:18" ht="14.45" customHeight="1" x14ac:dyDescent="0.25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 t="shared" ref="H116:N116" si="14">0.1 * 3.25 * (60*60*24)</f>
        <v>28080</v>
      </c>
      <c r="I116" s="67">
        <f t="shared" si="14"/>
        <v>28080</v>
      </c>
      <c r="J116" s="67">
        <f t="shared" si="14"/>
        <v>28080</v>
      </c>
      <c r="K116" s="67">
        <f t="shared" si="14"/>
        <v>28080</v>
      </c>
      <c r="L116" s="67">
        <f t="shared" si="14"/>
        <v>28080</v>
      </c>
      <c r="M116" s="67">
        <f t="shared" si="14"/>
        <v>28080</v>
      </c>
      <c r="N116" s="67">
        <f t="shared" si="14"/>
        <v>28080</v>
      </c>
      <c r="P116" s="1" t="b">
        <f t="shared" si="1"/>
        <v>1</v>
      </c>
      <c r="Q116" s="67">
        <v>28080</v>
      </c>
      <c r="R116" s="67">
        <v>28080</v>
      </c>
    </row>
    <row r="117" spans="1:18" x14ac:dyDescent="0.25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 t="shared" ref="H117:N117" si="15">1.11 / 10</f>
        <v>0.11100000000000002</v>
      </c>
      <c r="I117" s="67">
        <f t="shared" si="15"/>
        <v>0.11100000000000002</v>
      </c>
      <c r="J117" s="67">
        <f t="shared" si="15"/>
        <v>0.11100000000000002</v>
      </c>
      <c r="K117" s="67">
        <f t="shared" si="15"/>
        <v>0.11100000000000002</v>
      </c>
      <c r="L117" s="67">
        <f t="shared" si="15"/>
        <v>0.11100000000000002</v>
      </c>
      <c r="M117" s="67">
        <f t="shared" si="15"/>
        <v>0.11100000000000002</v>
      </c>
      <c r="N117" s="67">
        <f t="shared" si="15"/>
        <v>0.11100000000000002</v>
      </c>
      <c r="P117" s="1" t="b">
        <f t="shared" si="1"/>
        <v>1</v>
      </c>
      <c r="Q117" s="67">
        <v>0.11100000000000002</v>
      </c>
      <c r="R117" s="67">
        <v>0.11100000000000002</v>
      </c>
    </row>
    <row r="118" spans="1:18" x14ac:dyDescent="0.25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>
        <v>100</v>
      </c>
      <c r="M118" s="82">
        <v>100</v>
      </c>
      <c r="N118" s="82">
        <v>100</v>
      </c>
      <c r="P118" s="1" t="b">
        <f t="shared" si="1"/>
        <v>1</v>
      </c>
      <c r="Q118" s="82">
        <v>100</v>
      </c>
      <c r="R118" s="82">
        <v>100</v>
      </c>
    </row>
    <row r="119" spans="1:18" ht="14.45" customHeight="1" x14ac:dyDescent="0.25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 t="shared" ref="G119:N119" si="16">5.32 * (60*60*24)</f>
        <v>459648</v>
      </c>
      <c r="H119" s="67">
        <f t="shared" si="16"/>
        <v>459648</v>
      </c>
      <c r="I119" s="67">
        <f t="shared" si="16"/>
        <v>459648</v>
      </c>
      <c r="J119" s="67">
        <f t="shared" si="16"/>
        <v>459648</v>
      </c>
      <c r="K119" s="67">
        <f t="shared" si="16"/>
        <v>459648</v>
      </c>
      <c r="L119" s="67">
        <f t="shared" si="16"/>
        <v>459648</v>
      </c>
      <c r="M119" s="67">
        <f t="shared" si="16"/>
        <v>459648</v>
      </c>
      <c r="N119" s="67">
        <f t="shared" si="16"/>
        <v>459648</v>
      </c>
      <c r="P119" s="1" t="b">
        <f t="shared" si="1"/>
        <v>1</v>
      </c>
      <c r="Q119" s="67">
        <v>459648</v>
      </c>
      <c r="R119" s="67">
        <v>459648</v>
      </c>
    </row>
    <row r="120" spans="1:18" x14ac:dyDescent="0.25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 t="shared" ref="H120:N120" si="17">1.11/8</f>
        <v>0.13875000000000001</v>
      </c>
      <c r="I120" s="67">
        <f t="shared" si="17"/>
        <v>0.13875000000000001</v>
      </c>
      <c r="J120" s="67">
        <f t="shared" si="17"/>
        <v>0.13875000000000001</v>
      </c>
      <c r="K120" s="67">
        <f t="shared" si="17"/>
        <v>0.13875000000000001</v>
      </c>
      <c r="L120" s="67">
        <f t="shared" si="17"/>
        <v>0.13875000000000001</v>
      </c>
      <c r="M120" s="67">
        <f t="shared" si="17"/>
        <v>0.13875000000000001</v>
      </c>
      <c r="N120" s="67">
        <f t="shared" si="17"/>
        <v>0.13875000000000001</v>
      </c>
      <c r="P120" s="1" t="b">
        <f t="shared" si="1"/>
        <v>1</v>
      </c>
      <c r="Q120" s="67">
        <v>0.13875000000000001</v>
      </c>
      <c r="R120" s="67">
        <v>0.13875000000000001</v>
      </c>
    </row>
    <row r="121" spans="1:18" x14ac:dyDescent="0.25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K121" s="82">
        <v>21600</v>
      </c>
      <c r="L121" s="82">
        <v>21600</v>
      </c>
      <c r="M121" s="82">
        <v>21600</v>
      </c>
      <c r="N121" s="82">
        <v>21600</v>
      </c>
      <c r="P121" s="1" t="b">
        <f t="shared" si="1"/>
        <v>1</v>
      </c>
      <c r="Q121" s="82">
        <v>21600</v>
      </c>
      <c r="R121" s="82">
        <v>21600</v>
      </c>
    </row>
    <row r="122" spans="1:18" x14ac:dyDescent="0.25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K122" s="88">
        <v>43200</v>
      </c>
      <c r="L122" s="88">
        <v>43200</v>
      </c>
      <c r="M122" s="88">
        <v>43200</v>
      </c>
      <c r="N122" s="88">
        <v>43200</v>
      </c>
      <c r="P122" s="1" t="b">
        <f t="shared" si="1"/>
        <v>1</v>
      </c>
      <c r="Q122" s="88">
        <v>43200</v>
      </c>
      <c r="R122" s="88">
        <v>43200</v>
      </c>
    </row>
    <row r="123" spans="1:18" x14ac:dyDescent="0.25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K123" s="77">
        <v>0.8</v>
      </c>
      <c r="L123" s="77">
        <v>0.8</v>
      </c>
      <c r="M123" s="77">
        <v>0.8</v>
      </c>
      <c r="N123" s="77">
        <v>0.8</v>
      </c>
      <c r="P123" s="1" t="b">
        <f t="shared" si="1"/>
        <v>1</v>
      </c>
      <c r="Q123" s="77">
        <v>0.8</v>
      </c>
      <c r="R123" s="77">
        <v>0.8</v>
      </c>
    </row>
    <row r="124" spans="1:18" x14ac:dyDescent="0.25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K124" s="78">
        <v>2.0833333333333335E-4</v>
      </c>
      <c r="L124" s="78">
        <v>2.0833333333333335E-4</v>
      </c>
      <c r="M124" s="78">
        <v>2.0833333333333335E-4</v>
      </c>
      <c r="N124" s="78">
        <v>2.0833333333333335E-4</v>
      </c>
      <c r="P124" s="1" t="b">
        <f t="shared" si="1"/>
        <v>1</v>
      </c>
      <c r="Q124" s="78">
        <v>2.0833333333333335E-4</v>
      </c>
      <c r="R124" s="78">
        <v>2.0833333333333335E-4</v>
      </c>
    </row>
    <row r="125" spans="1:18" x14ac:dyDescent="0.25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K125" s="77">
        <v>5.7899999999999998E-7</v>
      </c>
      <c r="L125" s="77">
        <v>5.7899999999999998E-7</v>
      </c>
      <c r="M125" s="77">
        <v>5.7899999999999998E-7</v>
      </c>
      <c r="N125" s="77">
        <v>5.7899999999999998E-7</v>
      </c>
      <c r="P125" s="1" t="b">
        <f t="shared" si="1"/>
        <v>1</v>
      </c>
      <c r="Q125" s="77">
        <v>5.7899999999999998E-7</v>
      </c>
      <c r="R125" s="77">
        <v>5.7899999999999998E-7</v>
      </c>
    </row>
    <row r="126" spans="1:18" x14ac:dyDescent="0.25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>
        <v>2.0833333333333335E-4</v>
      </c>
      <c r="M126" s="78">
        <v>2.0833333333333335E-4</v>
      </c>
      <c r="N126" s="78">
        <v>2.0833333333333335E-4</v>
      </c>
      <c r="P126" s="1" t="b">
        <f t="shared" si="1"/>
        <v>1</v>
      </c>
      <c r="Q126" s="78">
        <v>2.0833333333333335E-4</v>
      </c>
      <c r="R126" s="78">
        <v>2.0833333333333335E-4</v>
      </c>
    </row>
    <row r="127" spans="1:18" x14ac:dyDescent="0.25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K127" s="78">
        <v>0</v>
      </c>
      <c r="L127" s="78">
        <v>0</v>
      </c>
      <c r="M127" s="78">
        <v>0</v>
      </c>
      <c r="N127" s="78">
        <v>0</v>
      </c>
      <c r="P127" s="1" t="b">
        <f t="shared" si="1"/>
        <v>1</v>
      </c>
      <c r="Q127" s="78">
        <v>0</v>
      </c>
      <c r="R127" s="78">
        <v>0</v>
      </c>
    </row>
    <row r="128" spans="1:18" x14ac:dyDescent="0.25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K128" s="78">
        <v>0</v>
      </c>
      <c r="L128" s="78">
        <v>0</v>
      </c>
      <c r="M128" s="78">
        <v>0</v>
      </c>
      <c r="N128" s="78">
        <v>0</v>
      </c>
      <c r="P128" s="1" t="b">
        <f t="shared" si="1"/>
        <v>1</v>
      </c>
      <c r="Q128" s="78">
        <v>0</v>
      </c>
      <c r="R128" s="78">
        <v>0</v>
      </c>
    </row>
    <row r="129" spans="1:18" x14ac:dyDescent="0.25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R129" si="18">0.0000002*3</f>
        <v>5.9999999999999997E-7</v>
      </c>
      <c r="J129" s="83">
        <f t="shared" si="18"/>
        <v>5.9999999999999997E-7</v>
      </c>
      <c r="K129" s="83">
        <f>0.0000002 * 2 / 10</f>
        <v>4.0000000000000001E-8</v>
      </c>
      <c r="L129" s="83">
        <f>0.0000002 * 2 / 1000</f>
        <v>3.9999999999999996E-10</v>
      </c>
      <c r="M129" s="83">
        <f>0.0000002 * 2 / 1000</f>
        <v>3.9999999999999996E-10</v>
      </c>
      <c r="N129" s="83">
        <v>0</v>
      </c>
      <c r="O129" s="83">
        <f>0.0000002 * 2 / 10</f>
        <v>4.0000000000000001E-8</v>
      </c>
      <c r="P129" s="1" t="b">
        <f t="shared" si="1"/>
        <v>0</v>
      </c>
      <c r="Q129" s="83">
        <f t="shared" si="18"/>
        <v>5.9999999999999997E-7</v>
      </c>
      <c r="R129" s="83">
        <f t="shared" si="18"/>
        <v>5.9999999999999997E-7</v>
      </c>
    </row>
    <row r="130" spans="1:18" x14ac:dyDescent="0.25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R130" si="19">1000 * 0.000001 / 12</f>
        <v>8.3333333333333331E-5</v>
      </c>
      <c r="I130" s="83">
        <f t="shared" si="19"/>
        <v>8.3333333333333331E-5</v>
      </c>
      <c r="J130" s="83">
        <f t="shared" si="19"/>
        <v>8.3333333333333331E-5</v>
      </c>
      <c r="K130" s="83">
        <f t="shared" si="19"/>
        <v>8.3333333333333331E-5</v>
      </c>
      <c r="L130" s="83">
        <f t="shared" si="19"/>
        <v>8.3333333333333331E-5</v>
      </c>
      <c r="M130" s="83">
        <f t="shared" si="19"/>
        <v>8.3333333333333331E-5</v>
      </c>
      <c r="N130" s="83">
        <f t="shared" si="19"/>
        <v>8.3333333333333331E-5</v>
      </c>
      <c r="P130" s="1" t="b">
        <f t="shared" si="1"/>
        <v>1</v>
      </c>
      <c r="Q130" s="83">
        <f t="shared" si="19"/>
        <v>8.3333333333333331E-5</v>
      </c>
      <c r="R130" s="83">
        <f t="shared" si="19"/>
        <v>8.3333333333333331E-5</v>
      </c>
    </row>
    <row r="131" spans="1:18" x14ac:dyDescent="0.25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K131" s="89" t="s">
        <v>533</v>
      </c>
      <c r="L131" s="89" t="s">
        <v>533</v>
      </c>
      <c r="M131" s="89" t="s">
        <v>533</v>
      </c>
      <c r="N131" s="89" t="s">
        <v>533</v>
      </c>
      <c r="P131" s="1" t="b">
        <f t="shared" ref="P131:P194" si="20">L131=N131</f>
        <v>1</v>
      </c>
      <c r="Q131" s="89" t="s">
        <v>533</v>
      </c>
      <c r="R131" s="89" t="s">
        <v>533</v>
      </c>
    </row>
    <row r="132" spans="1:18" x14ac:dyDescent="0.25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K132" s="83">
        <f>0.0005 * 1.2</f>
        <v>5.9999999999999995E-4</v>
      </c>
      <c r="L132" s="83">
        <f>0.0005 / 10</f>
        <v>5.0000000000000002E-5</v>
      </c>
      <c r="M132" s="83">
        <f>0.0005 / 10</f>
        <v>5.0000000000000002E-5</v>
      </c>
      <c r="N132" s="83">
        <f>0.0005</f>
        <v>5.0000000000000001E-4</v>
      </c>
      <c r="O132" s="83">
        <f>0.0005 * 1.2</f>
        <v>5.9999999999999995E-4</v>
      </c>
      <c r="P132" s="1" t="b">
        <f t="shared" si="20"/>
        <v>0</v>
      </c>
      <c r="Q132" s="83">
        <v>5.0000000000000001E-4</v>
      </c>
      <c r="R132" s="83">
        <v>5.0000000000000001E-4</v>
      </c>
    </row>
    <row r="133" spans="1:18" x14ac:dyDescent="0.25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K133" s="83">
        <v>4.9999999999999999E-13</v>
      </c>
      <c r="L133" s="83">
        <v>4.9999999999999999E-13</v>
      </c>
      <c r="M133" s="83">
        <v>4.9999999999999999E-13</v>
      </c>
      <c r="N133" s="83">
        <v>4.9999999999999999E-13</v>
      </c>
      <c r="P133" s="1" t="b">
        <f t="shared" si="20"/>
        <v>1</v>
      </c>
      <c r="Q133" s="83">
        <v>4.9999999999999999E-13</v>
      </c>
      <c r="R133" s="83">
        <v>4.9999999999999999E-13</v>
      </c>
    </row>
    <row r="134" spans="1:18" x14ac:dyDescent="0.25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K134" s="77">
        <v>10</v>
      </c>
      <c r="L134" s="77">
        <v>10</v>
      </c>
      <c r="M134" s="77">
        <v>10</v>
      </c>
      <c r="N134" s="77">
        <v>10</v>
      </c>
      <c r="P134" s="1" t="b">
        <f t="shared" si="20"/>
        <v>1</v>
      </c>
      <c r="Q134" s="77">
        <v>10</v>
      </c>
      <c r="R134" s="77">
        <v>10</v>
      </c>
    </row>
    <row r="135" spans="1:18" x14ac:dyDescent="0.25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K135" s="77">
        <v>-0.04</v>
      </c>
      <c r="L135" s="77">
        <v>-0.04</v>
      </c>
      <c r="M135" s="77">
        <v>-0.04</v>
      </c>
      <c r="N135" s="77">
        <v>-0.04</v>
      </c>
      <c r="P135" s="1" t="b">
        <f t="shared" si="20"/>
        <v>1</v>
      </c>
      <c r="Q135" s="77">
        <v>-0.04</v>
      </c>
      <c r="R135" s="77">
        <v>-0.04</v>
      </c>
    </row>
    <row r="136" spans="1:18" x14ac:dyDescent="0.25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K136" s="77">
        <v>2.9</v>
      </c>
      <c r="L136" s="77">
        <v>2.9</v>
      </c>
      <c r="M136" s="77">
        <v>2.9</v>
      </c>
      <c r="N136" s="77">
        <v>2.9</v>
      </c>
      <c r="P136" s="1" t="b">
        <f t="shared" si="20"/>
        <v>1</v>
      </c>
      <c r="Q136" s="77">
        <v>2.9</v>
      </c>
      <c r="R136" s="77">
        <v>2.9</v>
      </c>
    </row>
    <row r="137" spans="1:18" x14ac:dyDescent="0.25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K137" s="77">
        <v>1</v>
      </c>
      <c r="L137" s="77">
        <v>1</v>
      </c>
      <c r="M137" s="77">
        <v>1</v>
      </c>
      <c r="N137" s="77">
        <v>1</v>
      </c>
      <c r="P137" s="1" t="b">
        <f t="shared" si="20"/>
        <v>1</v>
      </c>
      <c r="Q137" s="77">
        <v>1</v>
      </c>
      <c r="R137" s="77">
        <v>1</v>
      </c>
    </row>
    <row r="138" spans="1:18" x14ac:dyDescent="0.25">
      <c r="A138" s="21" t="s">
        <v>574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K138" s="80">
        <f>0.0000002 * 2 / 10</f>
        <v>4.0000000000000001E-8</v>
      </c>
      <c r="L138" s="80">
        <f>0.0000002 * 2 / 10</f>
        <v>4.0000000000000001E-8</v>
      </c>
      <c r="M138" s="80">
        <f>0.0000002 * 2 / 10</f>
        <v>4.0000000000000001E-8</v>
      </c>
      <c r="N138" s="80">
        <v>1.9999999999999999E-7</v>
      </c>
      <c r="O138" s="80">
        <f>0.0000002 * 2 / 10</f>
        <v>4.0000000000000001E-8</v>
      </c>
      <c r="P138" s="1" t="b">
        <f t="shared" si="20"/>
        <v>0</v>
      </c>
      <c r="Q138" s="80">
        <v>1.9999999999999999E-7</v>
      </c>
      <c r="R138" s="80">
        <v>1.9999999999999999E-7</v>
      </c>
    </row>
    <row r="139" spans="1:18" x14ac:dyDescent="0.25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K139" s="77">
        <v>10</v>
      </c>
      <c r="L139" s="77">
        <v>10</v>
      </c>
      <c r="M139" s="77">
        <v>10</v>
      </c>
      <c r="N139" s="77">
        <v>10</v>
      </c>
      <c r="P139" s="1" t="b">
        <f t="shared" si="20"/>
        <v>1</v>
      </c>
      <c r="Q139" s="77">
        <v>10</v>
      </c>
      <c r="R139" s="77">
        <v>10</v>
      </c>
    </row>
    <row r="140" spans="1:18" x14ac:dyDescent="0.25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K140" s="77">
        <v>-0.04</v>
      </c>
      <c r="L140" s="77">
        <v>-0.04</v>
      </c>
      <c r="M140" s="77">
        <v>-0.04</v>
      </c>
      <c r="N140" s="77">
        <v>-0.04</v>
      </c>
      <c r="P140" s="1" t="b">
        <f t="shared" si="20"/>
        <v>1</v>
      </c>
      <c r="Q140" s="77">
        <v>-0.04</v>
      </c>
      <c r="R140" s="77">
        <v>-0.04</v>
      </c>
    </row>
    <row r="141" spans="1:18" x14ac:dyDescent="0.25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K141" s="77">
        <v>2.9</v>
      </c>
      <c r="L141" s="77">
        <v>2.9</v>
      </c>
      <c r="M141" s="77">
        <v>2.9</v>
      </c>
      <c r="N141" s="77">
        <v>2.9</v>
      </c>
      <c r="P141" s="1" t="b">
        <f t="shared" si="20"/>
        <v>1</v>
      </c>
      <c r="Q141" s="77">
        <v>2.9</v>
      </c>
      <c r="R141" s="77">
        <v>2.9</v>
      </c>
    </row>
    <row r="142" spans="1:18" x14ac:dyDescent="0.25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K142" s="77">
        <v>1</v>
      </c>
      <c r="L142" s="77">
        <v>1</v>
      </c>
      <c r="M142" s="77">
        <v>1</v>
      </c>
      <c r="N142" s="77">
        <v>1</v>
      </c>
      <c r="P142" s="1" t="b">
        <f t="shared" si="20"/>
        <v>1</v>
      </c>
      <c r="Q142" s="77">
        <v>1</v>
      </c>
      <c r="R142" s="77">
        <v>1</v>
      </c>
    </row>
    <row r="143" spans="1:18" x14ac:dyDescent="0.25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K143" s="77">
        <v>0</v>
      </c>
      <c r="L143" s="77">
        <v>0</v>
      </c>
      <c r="M143" s="77">
        <v>0</v>
      </c>
      <c r="N143" s="77">
        <v>0</v>
      </c>
      <c r="P143" s="1" t="b">
        <f t="shared" si="20"/>
        <v>1</v>
      </c>
      <c r="Q143" s="77">
        <v>0</v>
      </c>
      <c r="R143" s="77">
        <v>0</v>
      </c>
    </row>
    <row r="144" spans="1:18" x14ac:dyDescent="0.25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K144" s="80">
        <v>5.0000000000000004E-6</v>
      </c>
      <c r="L144" s="80">
        <v>5.0000000000000004E-6</v>
      </c>
      <c r="M144" s="80">
        <v>5.0000000000000004E-6</v>
      </c>
      <c r="N144" s="80">
        <v>5.0000000000000004E-6</v>
      </c>
      <c r="P144" s="1" t="b">
        <f t="shared" si="20"/>
        <v>1</v>
      </c>
      <c r="Q144" s="80">
        <v>5.0000000000000004E-6</v>
      </c>
      <c r="R144" s="80">
        <v>5.0000000000000004E-6</v>
      </c>
    </row>
    <row r="145" spans="1:18" x14ac:dyDescent="0.25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K145" s="77">
        <v>0</v>
      </c>
      <c r="L145" s="77">
        <v>0</v>
      </c>
      <c r="M145" s="77">
        <v>0</v>
      </c>
      <c r="N145" s="77">
        <v>0</v>
      </c>
      <c r="P145" s="1" t="b">
        <f t="shared" si="20"/>
        <v>1</v>
      </c>
      <c r="Q145" s="77">
        <v>0</v>
      </c>
      <c r="R145" s="77">
        <v>0</v>
      </c>
    </row>
    <row r="146" spans="1:18" x14ac:dyDescent="0.25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K146" s="77">
        <v>2E-3</v>
      </c>
      <c r="L146" s="77">
        <v>2E-3</v>
      </c>
      <c r="M146" s="77">
        <v>2E-3</v>
      </c>
      <c r="N146" s="77">
        <v>2E-3</v>
      </c>
      <c r="P146" s="1" t="b">
        <f t="shared" si="20"/>
        <v>1</v>
      </c>
      <c r="Q146" s="77">
        <v>2E-3</v>
      </c>
      <c r="R146" s="77">
        <v>2E-3</v>
      </c>
    </row>
    <row r="147" spans="1:18" x14ac:dyDescent="0.25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K147" s="80">
        <v>3.9999999999999998E-6</v>
      </c>
      <c r="L147" s="80">
        <v>3.9999999999999998E-6</v>
      </c>
      <c r="M147" s="80">
        <v>3.9999999999999998E-6</v>
      </c>
      <c r="N147" s="80">
        <v>3.9999999999999998E-6</v>
      </c>
      <c r="P147" s="1" t="b">
        <f t="shared" si="20"/>
        <v>1</v>
      </c>
      <c r="Q147" s="80">
        <v>3.9999999999999998E-6</v>
      </c>
      <c r="R147" s="80">
        <v>3.9999999999999998E-6</v>
      </c>
    </row>
    <row r="148" spans="1:18" x14ac:dyDescent="0.25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K148" s="80">
        <v>3.7699999999999999E-10</v>
      </c>
      <c r="L148" s="80">
        <v>3.7699999999999999E-10</v>
      </c>
      <c r="M148" s="80">
        <v>3.7699999999999999E-10</v>
      </c>
      <c r="N148" s="80">
        <v>3.7699999999999999E-10</v>
      </c>
      <c r="P148" s="1" t="b">
        <f t="shared" si="20"/>
        <v>1</v>
      </c>
      <c r="Q148" s="80">
        <v>3.7699999999999999E-10</v>
      </c>
      <c r="R148" s="80">
        <v>3.7699999999999999E-10</v>
      </c>
    </row>
    <row r="149" spans="1:18" x14ac:dyDescent="0.25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K149" s="77">
        <v>20</v>
      </c>
      <c r="L149" s="77">
        <v>20</v>
      </c>
      <c r="M149" s="77">
        <v>20</v>
      </c>
      <c r="N149" s="77">
        <v>20</v>
      </c>
      <c r="P149" s="1" t="b">
        <f t="shared" si="20"/>
        <v>1</v>
      </c>
      <c r="Q149" s="77">
        <v>20</v>
      </c>
      <c r="R149" s="77">
        <v>20</v>
      </c>
    </row>
    <row r="150" spans="1:18" x14ac:dyDescent="0.25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K150" s="77">
        <v>-0.06</v>
      </c>
      <c r="L150" s="77">
        <v>-0.06</v>
      </c>
      <c r="M150" s="77">
        <v>-0.06</v>
      </c>
      <c r="N150" s="77">
        <v>-0.06</v>
      </c>
      <c r="P150" s="1" t="b">
        <f t="shared" si="20"/>
        <v>1</v>
      </c>
      <c r="Q150" s="77">
        <v>-0.06</v>
      </c>
      <c r="R150" s="77">
        <v>-0.06</v>
      </c>
    </row>
    <row r="151" spans="1:18" x14ac:dyDescent="0.25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K151" s="77">
        <v>0.89100000000000001</v>
      </c>
      <c r="L151" s="77">
        <v>0.89100000000000001</v>
      </c>
      <c r="M151" s="77">
        <v>0.89100000000000001</v>
      </c>
      <c r="N151" s="77">
        <v>0.89100000000000001</v>
      </c>
      <c r="P151" s="1" t="b">
        <f t="shared" si="20"/>
        <v>1</v>
      </c>
      <c r="Q151" s="77">
        <v>0.89100000000000001</v>
      </c>
      <c r="R151" s="77">
        <v>0.89100000000000001</v>
      </c>
    </row>
    <row r="152" spans="1:18" x14ac:dyDescent="0.25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K152" s="77">
        <v>1</v>
      </c>
      <c r="L152" s="77">
        <v>1</v>
      </c>
      <c r="M152" s="77">
        <v>1</v>
      </c>
      <c r="N152" s="77">
        <v>1</v>
      </c>
      <c r="P152" s="1" t="b">
        <f t="shared" si="20"/>
        <v>1</v>
      </c>
      <c r="Q152" s="77">
        <v>1</v>
      </c>
      <c r="R152" s="77">
        <v>1</v>
      </c>
    </row>
    <row r="153" spans="1:18" x14ac:dyDescent="0.25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K153" s="80">
        <v>4.0000000000000003E-5</v>
      </c>
      <c r="L153" s="80">
        <v>4.0000000000000003E-5</v>
      </c>
      <c r="M153" s="80">
        <v>4.0000000000000003E-5</v>
      </c>
      <c r="N153" s="80">
        <v>4.0000000000000003E-5</v>
      </c>
      <c r="P153" s="1" t="b">
        <f t="shared" si="20"/>
        <v>1</v>
      </c>
      <c r="Q153" s="80">
        <v>4.0000000000000003E-5</v>
      </c>
      <c r="R153" s="80">
        <v>4.0000000000000003E-5</v>
      </c>
    </row>
    <row r="154" spans="1:18" x14ac:dyDescent="0.25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K154" s="80">
        <v>5.8333333333333335E-9</v>
      </c>
      <c r="L154" s="80">
        <v>5.8333333333333335E-9</v>
      </c>
      <c r="M154" s="80">
        <v>5.8333333333333335E-9</v>
      </c>
      <c r="N154" s="80">
        <v>5.8333333333333335E-9</v>
      </c>
      <c r="P154" s="1" t="b">
        <f t="shared" si="20"/>
        <v>1</v>
      </c>
      <c r="Q154" s="80">
        <v>5.8333333333333335E-9</v>
      </c>
      <c r="R154" s="80">
        <v>5.8333333333333335E-9</v>
      </c>
    </row>
    <row r="155" spans="1:18" x14ac:dyDescent="0.25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K155" s="77">
        <v>20</v>
      </c>
      <c r="L155" s="77">
        <v>20</v>
      </c>
      <c r="M155" s="77">
        <v>20</v>
      </c>
      <c r="N155" s="77">
        <v>20</v>
      </c>
      <c r="P155" s="1" t="b">
        <f t="shared" si="20"/>
        <v>1</v>
      </c>
      <c r="Q155" s="77">
        <v>20</v>
      </c>
      <c r="R155" s="77">
        <v>20</v>
      </c>
    </row>
    <row r="156" spans="1:18" x14ac:dyDescent="0.25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K156" s="77">
        <v>-0.06</v>
      </c>
      <c r="L156" s="77">
        <v>-0.06</v>
      </c>
      <c r="M156" s="77">
        <v>-0.06</v>
      </c>
      <c r="N156" s="77">
        <v>-0.06</v>
      </c>
      <c r="P156" s="1" t="b">
        <f t="shared" si="20"/>
        <v>1</v>
      </c>
      <c r="Q156" s="77">
        <v>-0.06</v>
      </c>
      <c r="R156" s="77">
        <v>-0.06</v>
      </c>
    </row>
    <row r="157" spans="1:18" x14ac:dyDescent="0.25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K157" s="77">
        <v>0.89100000000000001</v>
      </c>
      <c r="L157" s="77">
        <v>0.89100000000000001</v>
      </c>
      <c r="M157" s="77">
        <v>0.89100000000000001</v>
      </c>
      <c r="N157" s="77">
        <v>0.89100000000000001</v>
      </c>
      <c r="P157" s="1" t="b">
        <f t="shared" si="20"/>
        <v>1</v>
      </c>
      <c r="Q157" s="77">
        <v>0.89100000000000001</v>
      </c>
      <c r="R157" s="77">
        <v>0.89100000000000001</v>
      </c>
    </row>
    <row r="158" spans="1:18" x14ac:dyDescent="0.25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K158" s="77">
        <v>1</v>
      </c>
      <c r="L158" s="77">
        <v>1</v>
      </c>
      <c r="M158" s="77">
        <v>1</v>
      </c>
      <c r="N158" s="77">
        <v>1</v>
      </c>
      <c r="P158" s="1" t="b">
        <f t="shared" si="20"/>
        <v>1</v>
      </c>
      <c r="Q158" s="77">
        <v>1</v>
      </c>
      <c r="R158" s="77">
        <v>1</v>
      </c>
    </row>
    <row r="159" spans="1:18" x14ac:dyDescent="0.25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K159" s="80">
        <v>4.0000000000000003E-5</v>
      </c>
      <c r="L159" s="80">
        <v>4.0000000000000003E-5</v>
      </c>
      <c r="M159" s="80">
        <v>4.0000000000000003E-5</v>
      </c>
      <c r="N159" s="80">
        <v>4.0000000000000003E-5</v>
      </c>
      <c r="P159" s="1" t="b">
        <f t="shared" si="20"/>
        <v>1</v>
      </c>
      <c r="Q159" s="80">
        <v>4.0000000000000003E-5</v>
      </c>
      <c r="R159" s="80">
        <v>4.0000000000000003E-5</v>
      </c>
    </row>
    <row r="160" spans="1:18" x14ac:dyDescent="0.25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K160" s="83">
        <v>4.0000000000000001E-8</v>
      </c>
      <c r="L160" s="83">
        <v>4.0000000000000001E-8</v>
      </c>
      <c r="M160" s="83">
        <v>4.0000000000000001E-8</v>
      </c>
      <c r="N160" s="83">
        <v>4.0000000000000001E-8</v>
      </c>
      <c r="P160" s="1" t="b">
        <f t="shared" si="20"/>
        <v>1</v>
      </c>
      <c r="Q160" s="83">
        <v>4.0000000000000001E-8</v>
      </c>
      <c r="R160" s="83">
        <v>4.0000000000000001E-8</v>
      </c>
    </row>
    <row r="161" spans="1:18" x14ac:dyDescent="0.25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K161" s="77">
        <v>20</v>
      </c>
      <c r="L161" s="77">
        <v>20</v>
      </c>
      <c r="M161" s="77">
        <v>20</v>
      </c>
      <c r="N161" s="77">
        <v>20</v>
      </c>
      <c r="P161" s="1" t="b">
        <f t="shared" si="20"/>
        <v>1</v>
      </c>
      <c r="Q161" s="77">
        <v>20</v>
      </c>
      <c r="R161" s="77">
        <v>20</v>
      </c>
    </row>
    <row r="162" spans="1:18" x14ac:dyDescent="0.25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K162" s="77">
        <v>-4.4200000000000003E-2</v>
      </c>
      <c r="L162" s="77">
        <v>-4.4200000000000003E-2</v>
      </c>
      <c r="M162" s="77">
        <v>-4.4200000000000003E-2</v>
      </c>
      <c r="N162" s="77">
        <v>-4.4200000000000003E-2</v>
      </c>
      <c r="P162" s="1" t="b">
        <f t="shared" si="20"/>
        <v>1</v>
      </c>
      <c r="Q162" s="77">
        <v>-4.4200000000000003E-2</v>
      </c>
      <c r="R162" s="77">
        <v>-4.4200000000000003E-2</v>
      </c>
    </row>
    <row r="163" spans="1:18" x14ac:dyDescent="0.25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K163" s="77">
        <v>1.55</v>
      </c>
      <c r="L163" s="77">
        <v>1.55</v>
      </c>
      <c r="M163" s="77">
        <v>1.55</v>
      </c>
      <c r="N163" s="77">
        <v>1.55</v>
      </c>
      <c r="P163" s="1" t="b">
        <f t="shared" si="20"/>
        <v>1</v>
      </c>
      <c r="Q163" s="77">
        <v>1.55</v>
      </c>
      <c r="R163" s="77">
        <v>1.55</v>
      </c>
    </row>
    <row r="164" spans="1:18" x14ac:dyDescent="0.25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K164" s="77">
        <v>1</v>
      </c>
      <c r="L164" s="77">
        <v>1</v>
      </c>
      <c r="M164" s="77">
        <v>1</v>
      </c>
      <c r="N164" s="77">
        <v>1</v>
      </c>
      <c r="P164" s="1" t="b">
        <f t="shared" si="20"/>
        <v>1</v>
      </c>
      <c r="Q164" s="77">
        <v>1</v>
      </c>
      <c r="R164" s="77">
        <v>1</v>
      </c>
    </row>
    <row r="165" spans="1:18" x14ac:dyDescent="0.25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K165" s="77">
        <v>2.7799999999999998E-4</v>
      </c>
      <c r="L165" s="77">
        <v>2.7799999999999998E-4</v>
      </c>
      <c r="M165" s="77">
        <v>2.7799999999999998E-4</v>
      </c>
      <c r="N165" s="77">
        <v>2.7799999999999998E-4</v>
      </c>
      <c r="P165" s="1" t="b">
        <f t="shared" si="20"/>
        <v>1</v>
      </c>
      <c r="Q165" s="77">
        <v>2.7799999999999998E-4</v>
      </c>
      <c r="R165" s="77">
        <v>2.7799999999999998E-4</v>
      </c>
    </row>
    <row r="166" spans="1:18" x14ac:dyDescent="0.25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K166" s="84">
        <v>2.4999999999999998E-12</v>
      </c>
      <c r="L166" s="84">
        <v>2.4999999999999998E-12</v>
      </c>
      <c r="M166" s="84">
        <v>2.4999999999999998E-12</v>
      </c>
      <c r="N166" s="84">
        <v>2.4999999999999998E-12</v>
      </c>
      <c r="P166" s="1" t="b">
        <f t="shared" si="20"/>
        <v>1</v>
      </c>
      <c r="Q166" s="84">
        <v>2.4999999999999998E-12</v>
      </c>
      <c r="R166" s="84">
        <v>2.4999999999999998E-12</v>
      </c>
    </row>
    <row r="167" spans="1:18" x14ac:dyDescent="0.25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K167" s="77">
        <v>20</v>
      </c>
      <c r="L167" s="77">
        <v>20</v>
      </c>
      <c r="M167" s="77">
        <v>20</v>
      </c>
      <c r="N167" s="77">
        <v>20</v>
      </c>
      <c r="P167" s="1" t="b">
        <f t="shared" si="20"/>
        <v>1</v>
      </c>
      <c r="Q167" s="77">
        <v>20</v>
      </c>
      <c r="R167" s="77">
        <v>20</v>
      </c>
    </row>
    <row r="168" spans="1:18" x14ac:dyDescent="0.25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K168" s="77">
        <v>0</v>
      </c>
      <c r="L168" s="77">
        <v>0</v>
      </c>
      <c r="M168" s="77">
        <v>0</v>
      </c>
      <c r="N168" s="77">
        <v>0</v>
      </c>
      <c r="P168" s="1" t="b">
        <f t="shared" si="20"/>
        <v>1</v>
      </c>
      <c r="Q168" s="77">
        <v>0</v>
      </c>
      <c r="R168" s="77">
        <v>0</v>
      </c>
    </row>
    <row r="169" spans="1:18" x14ac:dyDescent="0.25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K169" s="77">
        <v>1</v>
      </c>
      <c r="L169" s="77">
        <v>1</v>
      </c>
      <c r="M169" s="77">
        <v>1</v>
      </c>
      <c r="N169" s="77">
        <v>1</v>
      </c>
      <c r="P169" s="1" t="b">
        <f t="shared" si="20"/>
        <v>1</v>
      </c>
      <c r="Q169" s="77">
        <v>1</v>
      </c>
      <c r="R169" s="77">
        <v>1</v>
      </c>
    </row>
    <row r="170" spans="1:18" x14ac:dyDescent="0.25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>
        <v>0</v>
      </c>
      <c r="M170" s="77">
        <v>0</v>
      </c>
      <c r="N170" s="77">
        <v>0</v>
      </c>
      <c r="P170" s="1" t="b">
        <f t="shared" si="20"/>
        <v>1</v>
      </c>
      <c r="Q170" s="77">
        <v>0</v>
      </c>
      <c r="R170" s="77">
        <v>0</v>
      </c>
    </row>
    <row r="171" spans="1:18" x14ac:dyDescent="0.25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K171" s="77">
        <v>0.4</v>
      </c>
      <c r="L171" s="77">
        <v>0.4</v>
      </c>
      <c r="M171" s="77">
        <v>0.4</v>
      </c>
      <c r="N171" s="77">
        <v>0.4</v>
      </c>
      <c r="P171" s="1" t="b">
        <f t="shared" si="20"/>
        <v>1</v>
      </c>
      <c r="Q171" s="77">
        <v>0.4</v>
      </c>
      <c r="R171" s="77">
        <v>0.4</v>
      </c>
    </row>
    <row r="172" spans="1:18" x14ac:dyDescent="0.25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K172" s="86">
        <v>2.0000000000000001E-9</v>
      </c>
      <c r="L172" s="86">
        <v>2.0000000000000001E-9</v>
      </c>
      <c r="M172" s="86">
        <v>2.0000000000000001E-9</v>
      </c>
      <c r="N172" s="86">
        <v>2.0000000000000001E-9</v>
      </c>
      <c r="P172" s="1" t="b">
        <f t="shared" si="20"/>
        <v>1</v>
      </c>
      <c r="Q172" s="86">
        <v>2.0000000000000001E-9</v>
      </c>
      <c r="R172" s="86">
        <v>2.0000000000000001E-9</v>
      </c>
    </row>
    <row r="173" spans="1:18" x14ac:dyDescent="0.25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K173" s="77">
        <v>25</v>
      </c>
      <c r="L173" s="77">
        <v>25</v>
      </c>
      <c r="M173" s="77">
        <v>25</v>
      </c>
      <c r="N173" s="77">
        <v>25</v>
      </c>
      <c r="P173" s="1" t="b">
        <f t="shared" si="20"/>
        <v>1</v>
      </c>
      <c r="Q173" s="77">
        <v>25</v>
      </c>
      <c r="R173" s="77">
        <v>25</v>
      </c>
    </row>
    <row r="174" spans="1:18" x14ac:dyDescent="0.25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K174" s="77">
        <v>0</v>
      </c>
      <c r="L174" s="77">
        <v>0</v>
      </c>
      <c r="M174" s="77">
        <v>0</v>
      </c>
      <c r="N174" s="77">
        <v>0</v>
      </c>
      <c r="P174" s="1" t="b">
        <f t="shared" si="20"/>
        <v>1</v>
      </c>
      <c r="Q174" s="77">
        <v>0</v>
      </c>
      <c r="R174" s="77">
        <v>0</v>
      </c>
    </row>
    <row r="175" spans="1:18" x14ac:dyDescent="0.25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K175" s="77">
        <v>3.98</v>
      </c>
      <c r="L175" s="77">
        <v>3.98</v>
      </c>
      <c r="M175" s="77">
        <v>3.98</v>
      </c>
      <c r="N175" s="77">
        <v>3.98</v>
      </c>
      <c r="P175" s="1" t="b">
        <f t="shared" si="20"/>
        <v>1</v>
      </c>
      <c r="Q175" s="77">
        <v>3.98</v>
      </c>
      <c r="R175" s="77">
        <v>3.98</v>
      </c>
    </row>
    <row r="176" spans="1:18" x14ac:dyDescent="0.25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K176" s="77">
        <v>1</v>
      </c>
      <c r="L176" s="77">
        <v>1</v>
      </c>
      <c r="M176" s="77">
        <v>1</v>
      </c>
      <c r="N176" s="77">
        <v>1</v>
      </c>
      <c r="P176" s="1" t="b">
        <f t="shared" si="20"/>
        <v>1</v>
      </c>
      <c r="Q176" s="77">
        <v>1</v>
      </c>
      <c r="R176" s="77">
        <v>1</v>
      </c>
    </row>
    <row r="177" spans="1:18" x14ac:dyDescent="0.25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K177" s="78">
        <v>1.6666666666666666E-4</v>
      </c>
      <c r="L177" s="78">
        <v>1.6666666666666666E-4</v>
      </c>
      <c r="M177" s="78">
        <v>1.6666666666666666E-4</v>
      </c>
      <c r="N177" s="78">
        <v>1.6666666666666666E-4</v>
      </c>
      <c r="P177" s="1" t="b">
        <f t="shared" si="20"/>
        <v>1</v>
      </c>
      <c r="Q177" s="78">
        <v>1.6666666666666666E-4</v>
      </c>
      <c r="R177" s="78">
        <v>1.6666666666666666E-4</v>
      </c>
    </row>
    <row r="178" spans="1:18" x14ac:dyDescent="0.25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K178" s="80">
        <v>1E-8</v>
      </c>
      <c r="L178" s="80">
        <v>1E-8</v>
      </c>
      <c r="M178" s="80">
        <v>1E-8</v>
      </c>
      <c r="N178" s="80">
        <v>1E-8</v>
      </c>
      <c r="P178" s="1" t="b">
        <f t="shared" si="20"/>
        <v>1</v>
      </c>
      <c r="Q178" s="80">
        <v>1E-8</v>
      </c>
      <c r="R178" s="80">
        <v>1E-8</v>
      </c>
    </row>
    <row r="179" spans="1:18" x14ac:dyDescent="0.25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K179" s="77">
        <v>20</v>
      </c>
      <c r="L179" s="77">
        <v>20</v>
      </c>
      <c r="M179" s="77">
        <v>20</v>
      </c>
      <c r="N179" s="77">
        <v>20</v>
      </c>
      <c r="P179" s="1" t="b">
        <f t="shared" si="20"/>
        <v>1</v>
      </c>
      <c r="Q179" s="77">
        <v>20</v>
      </c>
      <c r="R179" s="77">
        <v>20</v>
      </c>
    </row>
    <row r="180" spans="1:18" x14ac:dyDescent="0.25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K180" s="77">
        <v>0</v>
      </c>
      <c r="L180" s="77">
        <v>0</v>
      </c>
      <c r="M180" s="77">
        <v>0</v>
      </c>
      <c r="N180" s="77">
        <v>0</v>
      </c>
      <c r="P180" s="1" t="b">
        <f t="shared" si="20"/>
        <v>1</v>
      </c>
      <c r="Q180" s="77">
        <v>0</v>
      </c>
      <c r="R180" s="77">
        <v>0</v>
      </c>
    </row>
    <row r="181" spans="1:18" x14ac:dyDescent="0.25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K181" s="77">
        <v>2</v>
      </c>
      <c r="L181" s="77">
        <v>2</v>
      </c>
      <c r="M181" s="77">
        <v>2</v>
      </c>
      <c r="N181" s="77">
        <v>2</v>
      </c>
      <c r="P181" s="1" t="b">
        <f t="shared" si="20"/>
        <v>1</v>
      </c>
      <c r="Q181" s="77">
        <v>2</v>
      </c>
      <c r="R181" s="77">
        <v>2</v>
      </c>
    </row>
    <row r="182" spans="1:18" x14ac:dyDescent="0.25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K182" s="77">
        <v>1</v>
      </c>
      <c r="L182" s="77">
        <v>1</v>
      </c>
      <c r="M182" s="77">
        <v>1</v>
      </c>
      <c r="N182" s="77">
        <v>1</v>
      </c>
      <c r="P182" s="1" t="b">
        <f t="shared" si="20"/>
        <v>1</v>
      </c>
      <c r="Q182" s="77">
        <v>1</v>
      </c>
      <c r="R182" s="77">
        <v>1</v>
      </c>
    </row>
    <row r="183" spans="1:18" x14ac:dyDescent="0.25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K183" s="78">
        <v>8.3333333333333331E-5</v>
      </c>
      <c r="L183" s="78">
        <v>8.3333333333333331E-5</v>
      </c>
      <c r="M183" s="78">
        <v>8.3333333333333331E-5</v>
      </c>
      <c r="N183" s="78">
        <v>8.3333333333333331E-5</v>
      </c>
      <c r="P183" s="1" t="b">
        <f t="shared" si="20"/>
        <v>1</v>
      </c>
      <c r="Q183" s="78">
        <v>8.3333333333333331E-5</v>
      </c>
      <c r="R183" s="78">
        <v>8.3333333333333331E-5</v>
      </c>
    </row>
    <row r="184" spans="1:18" x14ac:dyDescent="0.25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>
        <v>1</v>
      </c>
      <c r="M184" s="77">
        <v>1</v>
      </c>
      <c r="N184" s="77">
        <v>1</v>
      </c>
      <c r="P184" s="1" t="b">
        <f t="shared" si="20"/>
        <v>1</v>
      </c>
      <c r="Q184" s="77">
        <v>1</v>
      </c>
      <c r="R184" s="77">
        <v>1</v>
      </c>
    </row>
    <row r="185" spans="1:18" x14ac:dyDescent="0.25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K185" s="77">
        <v>2.3533050791148899E-8</v>
      </c>
      <c r="L185" s="77">
        <v>2.3533050791148899E-8</v>
      </c>
      <c r="M185" s="77">
        <v>2.3533050791148899E-8</v>
      </c>
      <c r="N185" s="77">
        <v>2.3533050791148899E-8</v>
      </c>
      <c r="P185" s="1" t="b">
        <f t="shared" si="20"/>
        <v>1</v>
      </c>
      <c r="Q185" s="77">
        <v>2.3533050791148899E-8</v>
      </c>
      <c r="R185" s="77">
        <v>2.3533050791148899E-8</v>
      </c>
    </row>
    <row r="186" spans="1:18" x14ac:dyDescent="0.25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K186" s="77">
        <v>20</v>
      </c>
      <c r="L186" s="77">
        <v>20</v>
      </c>
      <c r="M186" s="77">
        <v>20</v>
      </c>
      <c r="N186" s="77">
        <v>20</v>
      </c>
      <c r="P186" s="1" t="b">
        <f t="shared" si="20"/>
        <v>1</v>
      </c>
      <c r="Q186" s="77">
        <v>20</v>
      </c>
      <c r="R186" s="77">
        <v>20</v>
      </c>
    </row>
    <row r="187" spans="1:18" x14ac:dyDescent="0.25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K187" s="77">
        <v>-0.187</v>
      </c>
      <c r="L187" s="77">
        <v>-0.187</v>
      </c>
      <c r="M187" s="77">
        <v>-0.187</v>
      </c>
      <c r="N187" s="77">
        <v>-0.187</v>
      </c>
      <c r="P187" s="1" t="b">
        <f t="shared" si="20"/>
        <v>1</v>
      </c>
      <c r="Q187" s="77">
        <v>-0.187</v>
      </c>
      <c r="R187" s="77">
        <v>-0.187</v>
      </c>
    </row>
    <row r="188" spans="1:18" x14ac:dyDescent="0.25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K188" s="77">
        <v>2.48</v>
      </c>
      <c r="L188" s="77">
        <v>2.48</v>
      </c>
      <c r="M188" s="77">
        <v>2.48</v>
      </c>
      <c r="N188" s="77">
        <v>2.48</v>
      </c>
      <c r="P188" s="1" t="b">
        <f t="shared" si="20"/>
        <v>1</v>
      </c>
      <c r="Q188" s="77">
        <v>2.48</v>
      </c>
      <c r="R188" s="77">
        <v>2.48</v>
      </c>
    </row>
    <row r="189" spans="1:18" x14ac:dyDescent="0.25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K189" s="77">
        <v>1</v>
      </c>
      <c r="L189" s="77">
        <v>1</v>
      </c>
      <c r="M189" s="77">
        <v>1</v>
      </c>
      <c r="N189" s="77">
        <v>1</v>
      </c>
      <c r="P189" s="1" t="b">
        <f t="shared" si="20"/>
        <v>1</v>
      </c>
      <c r="Q189" s="77">
        <v>1</v>
      </c>
      <c r="R189" s="77">
        <v>1</v>
      </c>
    </row>
    <row r="190" spans="1:18" x14ac:dyDescent="0.25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K190" s="77">
        <v>6.1060227588121015E-4</v>
      </c>
      <c r="L190" s="77">
        <v>6.1060227588121015E-4</v>
      </c>
      <c r="M190" s="77">
        <v>6.1060227588121015E-4</v>
      </c>
      <c r="N190" s="77">
        <v>6.1060227588121015E-4</v>
      </c>
      <c r="P190" s="1" t="b">
        <f t="shared" si="20"/>
        <v>1</v>
      </c>
      <c r="Q190" s="77">
        <v>6.1060227588121015E-4</v>
      </c>
      <c r="R190" s="77">
        <v>6.1060227588121015E-4</v>
      </c>
    </row>
    <row r="191" spans="1:18" x14ac:dyDescent="0.25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K191" s="85">
        <v>3.9999999999999998E-7</v>
      </c>
      <c r="L191" s="85">
        <v>3.9999999999999998E-7</v>
      </c>
      <c r="M191" s="85">
        <v>3.9999999999999998E-7</v>
      </c>
      <c r="N191" s="85">
        <v>3.9999999999999998E-7</v>
      </c>
      <c r="P191" s="1" t="b">
        <f t="shared" si="20"/>
        <v>1</v>
      </c>
      <c r="Q191" s="85">
        <v>3.9999999999999998E-7</v>
      </c>
      <c r="R191" s="85">
        <v>3.9999999999999998E-7</v>
      </c>
    </row>
    <row r="192" spans="1:18" x14ac:dyDescent="0.25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K192" s="77">
        <v>25</v>
      </c>
      <c r="L192" s="77">
        <v>25</v>
      </c>
      <c r="M192" s="77">
        <v>25</v>
      </c>
      <c r="N192" s="77">
        <v>25</v>
      </c>
      <c r="P192" s="1" t="b">
        <f t="shared" si="20"/>
        <v>1</v>
      </c>
      <c r="Q192" s="77">
        <v>25</v>
      </c>
      <c r="R192" s="77">
        <v>25</v>
      </c>
    </row>
    <row r="193" spans="1:18" x14ac:dyDescent="0.25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K193" s="77">
        <v>0</v>
      </c>
      <c r="L193" s="77">
        <v>0</v>
      </c>
      <c r="M193" s="77">
        <v>0</v>
      </c>
      <c r="N193" s="77">
        <v>0</v>
      </c>
      <c r="P193" s="1" t="b">
        <f t="shared" si="20"/>
        <v>1</v>
      </c>
      <c r="Q193" s="77">
        <v>0</v>
      </c>
      <c r="R193" s="77">
        <v>0</v>
      </c>
    </row>
    <row r="194" spans="1:18" x14ac:dyDescent="0.25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K194" s="77">
        <v>3.98</v>
      </c>
      <c r="L194" s="77">
        <v>3.98</v>
      </c>
      <c r="M194" s="77">
        <v>3.98</v>
      </c>
      <c r="N194" s="77">
        <v>3.98</v>
      </c>
      <c r="P194" s="1" t="b">
        <f t="shared" si="20"/>
        <v>1</v>
      </c>
      <c r="Q194" s="77">
        <v>3.98</v>
      </c>
      <c r="R194" s="77">
        <v>3.98</v>
      </c>
    </row>
    <row r="195" spans="1:18" x14ac:dyDescent="0.25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K195" s="77">
        <v>1</v>
      </c>
      <c r="L195" s="77">
        <v>1</v>
      </c>
      <c r="M195" s="77">
        <v>1</v>
      </c>
      <c r="N195" s="77">
        <v>1</v>
      </c>
      <c r="P195" s="1" t="b">
        <f t="shared" ref="P195:P234" si="21">L195=N195</f>
        <v>1</v>
      </c>
      <c r="Q195" s="77">
        <v>1</v>
      </c>
      <c r="R195" s="77">
        <v>1</v>
      </c>
    </row>
    <row r="196" spans="1:18" x14ac:dyDescent="0.25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K196" s="78">
        <v>8.3333333333333331E-5</v>
      </c>
      <c r="L196" s="78">
        <v>8.3333333333333331E-5</v>
      </c>
      <c r="M196" s="78">
        <v>8.3333333333333331E-5</v>
      </c>
      <c r="N196" s="78">
        <v>8.3333333333333331E-5</v>
      </c>
      <c r="P196" s="1" t="b">
        <f t="shared" si="21"/>
        <v>1</v>
      </c>
      <c r="Q196" s="78">
        <v>8.3333333333333331E-5</v>
      </c>
      <c r="R196" s="78">
        <v>8.3333333333333331E-5</v>
      </c>
    </row>
    <row r="197" spans="1:18" x14ac:dyDescent="0.25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K197" s="85">
        <v>3.9999999999999998E-7</v>
      </c>
      <c r="L197" s="85">
        <v>3.9999999999999998E-7</v>
      </c>
      <c r="M197" s="85">
        <v>3.9999999999999998E-7</v>
      </c>
      <c r="N197" s="85">
        <v>3.9999999999999998E-7</v>
      </c>
      <c r="P197" s="1" t="b">
        <f t="shared" si="21"/>
        <v>1</v>
      </c>
      <c r="Q197" s="85">
        <v>3.9999999999999998E-7</v>
      </c>
      <c r="R197" s="85">
        <v>3.9999999999999998E-7</v>
      </c>
    </row>
    <row r="198" spans="1:18" x14ac:dyDescent="0.25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K198" s="77">
        <v>25</v>
      </c>
      <c r="L198" s="77">
        <v>25</v>
      </c>
      <c r="M198" s="77">
        <v>25</v>
      </c>
      <c r="N198" s="77">
        <v>25</v>
      </c>
      <c r="P198" s="1" t="b">
        <f t="shared" si="21"/>
        <v>1</v>
      </c>
      <c r="Q198" s="77">
        <v>25</v>
      </c>
      <c r="R198" s="77">
        <v>25</v>
      </c>
    </row>
    <row r="199" spans="1:18" x14ac:dyDescent="0.25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K199" s="77">
        <v>0</v>
      </c>
      <c r="L199" s="77">
        <v>0</v>
      </c>
      <c r="M199" s="77">
        <v>0</v>
      </c>
      <c r="N199" s="77">
        <v>0</v>
      </c>
      <c r="P199" s="1" t="b">
        <f t="shared" si="21"/>
        <v>1</v>
      </c>
      <c r="Q199" s="77">
        <v>0</v>
      </c>
      <c r="R199" s="77">
        <v>0</v>
      </c>
    </row>
    <row r="200" spans="1:18" x14ac:dyDescent="0.25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K200" s="77">
        <v>3.98</v>
      </c>
      <c r="L200" s="77">
        <v>3.98</v>
      </c>
      <c r="M200" s="77">
        <v>3.98</v>
      </c>
      <c r="N200" s="77">
        <v>3.98</v>
      </c>
      <c r="P200" s="1" t="b">
        <f t="shared" si="21"/>
        <v>1</v>
      </c>
      <c r="Q200" s="77">
        <v>3.98</v>
      </c>
      <c r="R200" s="77">
        <v>3.98</v>
      </c>
    </row>
    <row r="201" spans="1:18" x14ac:dyDescent="0.25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K201" s="77">
        <v>1</v>
      </c>
      <c r="L201" s="77">
        <v>1</v>
      </c>
      <c r="M201" s="77">
        <v>1</v>
      </c>
      <c r="N201" s="77">
        <v>1</v>
      </c>
      <c r="P201" s="1" t="b">
        <f t="shared" si="21"/>
        <v>1</v>
      </c>
      <c r="Q201" s="77">
        <v>1</v>
      </c>
      <c r="R201" s="77">
        <v>1</v>
      </c>
    </row>
    <row r="202" spans="1:18" x14ac:dyDescent="0.25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K202" s="78">
        <v>8.3333333333333331E-5</v>
      </c>
      <c r="L202" s="78">
        <v>8.3333333333333331E-5</v>
      </c>
      <c r="M202" s="78">
        <v>8.3333333333333331E-5</v>
      </c>
      <c r="N202" s="78">
        <v>8.3333333333333331E-5</v>
      </c>
      <c r="P202" s="1" t="b">
        <f t="shared" si="21"/>
        <v>1</v>
      </c>
      <c r="Q202" s="78">
        <v>8.3333333333333331E-5</v>
      </c>
      <c r="R202" s="78">
        <v>8.3333333333333331E-5</v>
      </c>
    </row>
    <row r="203" spans="1:18" x14ac:dyDescent="0.25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K203" s="85">
        <v>1.9999999999999999E-7</v>
      </c>
      <c r="L203" s="85">
        <v>1.9999999999999999E-7</v>
      </c>
      <c r="M203" s="85">
        <v>1.9999999999999999E-7</v>
      </c>
      <c r="N203" s="85">
        <v>1.9999999999999999E-7</v>
      </c>
      <c r="P203" s="1" t="b">
        <f t="shared" si="21"/>
        <v>1</v>
      </c>
      <c r="Q203" s="85">
        <v>1.9999999999999999E-7</v>
      </c>
      <c r="R203" s="85">
        <v>1.9999999999999999E-7</v>
      </c>
    </row>
    <row r="204" spans="1:18" x14ac:dyDescent="0.25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K204" s="77">
        <v>25</v>
      </c>
      <c r="L204" s="77">
        <v>25</v>
      </c>
      <c r="M204" s="77">
        <v>25</v>
      </c>
      <c r="N204" s="77">
        <v>25</v>
      </c>
      <c r="P204" s="1" t="b">
        <f t="shared" si="21"/>
        <v>1</v>
      </c>
      <c r="Q204" s="77">
        <v>25</v>
      </c>
      <c r="R204" s="77">
        <v>25</v>
      </c>
    </row>
    <row r="205" spans="1:18" x14ac:dyDescent="0.25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K205" s="77">
        <v>0</v>
      </c>
      <c r="L205" s="77">
        <v>0</v>
      </c>
      <c r="M205" s="77">
        <v>0</v>
      </c>
      <c r="N205" s="77">
        <v>0</v>
      </c>
      <c r="P205" s="1" t="b">
        <f t="shared" si="21"/>
        <v>1</v>
      </c>
      <c r="Q205" s="77">
        <v>0</v>
      </c>
      <c r="R205" s="77">
        <v>0</v>
      </c>
    </row>
    <row r="206" spans="1:18" x14ac:dyDescent="0.25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K206" s="77">
        <v>3.98</v>
      </c>
      <c r="L206" s="77">
        <v>3.98</v>
      </c>
      <c r="M206" s="77">
        <v>3.98</v>
      </c>
      <c r="N206" s="77">
        <v>3.98</v>
      </c>
      <c r="P206" s="1" t="b">
        <f t="shared" si="21"/>
        <v>1</v>
      </c>
      <c r="Q206" s="77">
        <v>3.98</v>
      </c>
      <c r="R206" s="77">
        <v>3.98</v>
      </c>
    </row>
    <row r="207" spans="1:18" x14ac:dyDescent="0.25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K207" s="77">
        <v>1</v>
      </c>
      <c r="L207" s="77">
        <v>1</v>
      </c>
      <c r="M207" s="77">
        <v>1</v>
      </c>
      <c r="N207" s="77">
        <v>1</v>
      </c>
      <c r="P207" s="1" t="b">
        <f t="shared" si="21"/>
        <v>1</v>
      </c>
      <c r="Q207" s="77">
        <v>1</v>
      </c>
      <c r="R207" s="77">
        <v>1</v>
      </c>
    </row>
    <row r="208" spans="1:18" x14ac:dyDescent="0.25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K208" s="78">
        <v>8.3333333333333331E-5</v>
      </c>
      <c r="L208" s="78">
        <v>8.3333333333333331E-5</v>
      </c>
      <c r="M208" s="78">
        <v>8.3333333333333331E-5</v>
      </c>
      <c r="N208" s="78">
        <v>8.3333333333333331E-5</v>
      </c>
      <c r="P208" s="1" t="b">
        <f t="shared" si="21"/>
        <v>1</v>
      </c>
      <c r="Q208" s="78">
        <v>8.3333333333333331E-5</v>
      </c>
      <c r="R208" s="78">
        <v>8.3333333333333331E-5</v>
      </c>
    </row>
    <row r="209" spans="1:18" x14ac:dyDescent="0.25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K209" s="95" t="s">
        <v>90</v>
      </c>
      <c r="L209" s="95" t="s">
        <v>90</v>
      </c>
      <c r="M209" s="95" t="s">
        <v>90</v>
      </c>
      <c r="N209" s="95" t="s">
        <v>90</v>
      </c>
      <c r="P209" s="1" t="b">
        <f t="shared" si="21"/>
        <v>1</v>
      </c>
      <c r="Q209" s="95" t="s">
        <v>90</v>
      </c>
      <c r="R209" s="95" t="s">
        <v>90</v>
      </c>
    </row>
    <row r="210" spans="1:18" s="96" customFormat="1" x14ac:dyDescent="0.25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22">0.00002</f>
        <v>2.0000000000000002E-5</v>
      </c>
      <c r="I210" s="83">
        <f t="shared" si="22"/>
        <v>2.0000000000000002E-5</v>
      </c>
      <c r="J210" s="83">
        <f t="shared" si="22"/>
        <v>2.0000000000000002E-5</v>
      </c>
      <c r="K210" s="83">
        <f>0.00005 / 100</f>
        <v>4.9999999999999998E-7</v>
      </c>
      <c r="L210" s="83">
        <f>0.00005 / 100</f>
        <v>4.9999999999999998E-7</v>
      </c>
      <c r="M210" s="83">
        <f>0.00005 / 100</f>
        <v>4.9999999999999998E-7</v>
      </c>
      <c r="N210" s="83">
        <f>0.00005 / 100</f>
        <v>4.9999999999999998E-7</v>
      </c>
      <c r="O210" s="1"/>
      <c r="P210" s="1" t="b">
        <f t="shared" si="21"/>
        <v>1</v>
      </c>
      <c r="Q210" s="2">
        <v>0.01</v>
      </c>
      <c r="R210" s="2">
        <v>0.01</v>
      </c>
    </row>
    <row r="211" spans="1:18" s="96" customFormat="1" x14ac:dyDescent="0.25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83">
        <v>0.1</v>
      </c>
      <c r="L211" s="83">
        <v>0.3</v>
      </c>
      <c r="M211" s="83">
        <v>0.3</v>
      </c>
      <c r="N211" s="83">
        <v>0.1</v>
      </c>
      <c r="O211" s="1"/>
      <c r="P211" s="1" t="b">
        <f t="shared" si="21"/>
        <v>0</v>
      </c>
      <c r="Q211" s="99">
        <v>0</v>
      </c>
      <c r="R211" s="99">
        <v>0</v>
      </c>
    </row>
    <row r="212" spans="1:18" s="96" customFormat="1" x14ac:dyDescent="0.25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N212" si="23">0.00002 / 14</f>
        <v>1.4285714285714286E-6</v>
      </c>
      <c r="I212" s="83">
        <f t="shared" si="23"/>
        <v>1.4285714285714286E-6</v>
      </c>
      <c r="J212" s="83">
        <v>2E-3</v>
      </c>
      <c r="K212" s="83">
        <f t="shared" si="23"/>
        <v>1.4285714285714286E-6</v>
      </c>
      <c r="L212" s="83">
        <f t="shared" si="23"/>
        <v>1.4285714285714286E-6</v>
      </c>
      <c r="M212" s="83">
        <f t="shared" si="23"/>
        <v>1.4285714285714286E-6</v>
      </c>
      <c r="N212" s="83">
        <f t="shared" si="23"/>
        <v>1.4285714285714286E-6</v>
      </c>
      <c r="O212" s="1"/>
      <c r="P212" s="1" t="b">
        <f t="shared" si="21"/>
        <v>1</v>
      </c>
      <c r="Q212" s="100">
        <v>1</v>
      </c>
      <c r="R212" s="100">
        <v>0.01</v>
      </c>
    </row>
    <row r="213" spans="1:18" s="96" customFormat="1" x14ac:dyDescent="0.25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83" t="s">
        <v>476</v>
      </c>
      <c r="L213" s="83" t="s">
        <v>476</v>
      </c>
      <c r="M213" s="83" t="s">
        <v>476</v>
      </c>
      <c r="N213" s="83" t="s">
        <v>476</v>
      </c>
      <c r="O213" s="1"/>
      <c r="P213" s="1" t="b">
        <f t="shared" si="21"/>
        <v>1</v>
      </c>
      <c r="Q213" s="98">
        <v>0.1</v>
      </c>
      <c r="R213" s="98" t="s">
        <v>476</v>
      </c>
    </row>
    <row r="214" spans="1:18" s="96" customFormat="1" x14ac:dyDescent="0.25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83">
        <v>0</v>
      </c>
      <c r="L214" s="83">
        <v>0</v>
      </c>
      <c r="M214" s="83">
        <v>0</v>
      </c>
      <c r="N214" s="83">
        <v>0</v>
      </c>
      <c r="O214" s="1"/>
      <c r="P214" s="1" t="b">
        <f t="shared" si="21"/>
        <v>1</v>
      </c>
      <c r="Q214" s="98">
        <v>0.04</v>
      </c>
      <c r="R214" s="98">
        <v>0.04</v>
      </c>
    </row>
    <row r="215" spans="1:18" s="96" customFormat="1" x14ac:dyDescent="0.25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83">
        <v>1E-3</v>
      </c>
      <c r="L215" s="83">
        <v>1E-3</v>
      </c>
      <c r="M215" s="83">
        <v>1E-3</v>
      </c>
      <c r="N215" s="83">
        <v>1E-3</v>
      </c>
      <c r="O215" s="1"/>
      <c r="P215" s="1" t="b">
        <f t="shared" si="21"/>
        <v>1</v>
      </c>
      <c r="Q215" s="98">
        <v>1E-3</v>
      </c>
      <c r="R215" s="98">
        <v>1E-3</v>
      </c>
    </row>
    <row r="216" spans="1:18" x14ac:dyDescent="0.25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 t="shared" ref="H216:N216" si="24">1250*0.000001/5</f>
        <v>2.5000000000000001E-4</v>
      </c>
      <c r="I216" s="99">
        <f t="shared" si="24"/>
        <v>2.5000000000000001E-4</v>
      </c>
      <c r="J216" s="99">
        <f t="shared" si="24"/>
        <v>2.5000000000000001E-4</v>
      </c>
      <c r="K216" s="99">
        <f t="shared" si="24"/>
        <v>2.5000000000000001E-4</v>
      </c>
      <c r="L216" s="99">
        <f t="shared" si="24"/>
        <v>2.5000000000000001E-4</v>
      </c>
      <c r="M216" s="99">
        <f t="shared" si="24"/>
        <v>2.5000000000000001E-4</v>
      </c>
      <c r="N216" s="99">
        <f t="shared" si="24"/>
        <v>2.5000000000000001E-4</v>
      </c>
      <c r="P216" s="1" t="b">
        <f t="shared" si="21"/>
        <v>1</v>
      </c>
      <c r="Q216" s="99">
        <v>2.5000000000000001E-4</v>
      </c>
      <c r="R216" s="99">
        <v>2.5000000000000001E-4</v>
      </c>
    </row>
    <row r="217" spans="1:18" x14ac:dyDescent="0.25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K217" s="99">
        <v>2.0000000000000001E-4</v>
      </c>
      <c r="L217" s="99">
        <v>2.0000000000000001E-4</v>
      </c>
      <c r="M217" s="99">
        <v>2.0000000000000001E-4</v>
      </c>
      <c r="N217" s="99">
        <v>2.0000000000000001E-4</v>
      </c>
      <c r="P217" s="1" t="b">
        <f t="shared" si="21"/>
        <v>1</v>
      </c>
      <c r="Q217" s="99">
        <v>2.0000000000000001E-4</v>
      </c>
      <c r="R217" s="99">
        <v>2.0000000000000001E-4</v>
      </c>
    </row>
    <row r="218" spans="1:18" x14ac:dyDescent="0.25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f xml:space="preserve"> 0.0000000000025 * 10</f>
        <v>2.4999999999999998E-11</v>
      </c>
      <c r="J218" s="83">
        <v>2.4999999999999999E-13</v>
      </c>
      <c r="K218" s="83">
        <f xml:space="preserve"> 0.0000000000025</f>
        <v>2.4999999999999998E-12</v>
      </c>
      <c r="L218" s="83">
        <f xml:space="preserve"> 0.0000000000025</f>
        <v>2.4999999999999998E-12</v>
      </c>
      <c r="M218" s="83">
        <f xml:space="preserve"> 0.0000000000025</f>
        <v>2.4999999999999998E-12</v>
      </c>
      <c r="N218" s="83">
        <f xml:space="preserve"> 0.0000000000025</f>
        <v>2.4999999999999998E-12</v>
      </c>
      <c r="P218" s="1" t="b">
        <f t="shared" si="21"/>
        <v>1</v>
      </c>
    </row>
    <row r="219" spans="1:18" x14ac:dyDescent="0.25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 / 2</f>
        <v>6E-11</v>
      </c>
      <c r="J219" s="83">
        <f>0.000000012 / 100</f>
        <v>1.2E-10</v>
      </c>
      <c r="K219" s="83">
        <f>0.00000000005</f>
        <v>5.0000000000000002E-11</v>
      </c>
      <c r="L219" s="83">
        <f>0.00000000005 / 10 / 8</f>
        <v>6.2500000000000006E-13</v>
      </c>
      <c r="M219" s="83">
        <f>0.00000000005 / 10 / 8</f>
        <v>6.2500000000000006E-13</v>
      </c>
      <c r="N219" s="83">
        <f>0.00000000005</f>
        <v>5.0000000000000002E-11</v>
      </c>
      <c r="P219" s="1" t="b">
        <f t="shared" si="21"/>
        <v>0</v>
      </c>
    </row>
    <row r="220" spans="1:18" x14ac:dyDescent="0.25">
      <c r="A220" s="2" t="s">
        <v>569</v>
      </c>
      <c r="B220" s="3" t="s">
        <v>471</v>
      </c>
      <c r="C220" s="2" t="s">
        <v>487</v>
      </c>
      <c r="D220" s="2" t="s">
        <v>532</v>
      </c>
      <c r="E220" s="96" t="s">
        <v>546</v>
      </c>
      <c r="F220" s="96" t="s">
        <v>550</v>
      </c>
      <c r="G220" s="99">
        <v>9.9999999999999995E-8</v>
      </c>
      <c r="H220" s="83"/>
      <c r="I220" s="83"/>
      <c r="J220" s="83"/>
      <c r="K220" s="83">
        <f>0.0000001 * 10 /2</f>
        <v>4.9999999999999998E-7</v>
      </c>
      <c r="L220" s="83">
        <f>0.0000001 / 2</f>
        <v>4.9999999999999998E-8</v>
      </c>
      <c r="M220" s="83">
        <f>0.0000001 / 2</f>
        <v>4.9999999999999998E-8</v>
      </c>
      <c r="N220" s="83">
        <f>0.0000001 * 10 /2</f>
        <v>4.9999999999999998E-7</v>
      </c>
      <c r="P220" s="1" t="b">
        <f t="shared" si="21"/>
        <v>0</v>
      </c>
    </row>
    <row r="221" spans="1:18" x14ac:dyDescent="0.25">
      <c r="A221" s="2" t="s">
        <v>571</v>
      </c>
      <c r="B221" s="3" t="s">
        <v>471</v>
      </c>
      <c r="C221" s="2" t="s">
        <v>487</v>
      </c>
      <c r="D221" s="2" t="s">
        <v>532</v>
      </c>
      <c r="E221" s="96" t="s">
        <v>572</v>
      </c>
      <c r="F221" s="96" t="s">
        <v>495</v>
      </c>
      <c r="G221" s="99">
        <v>100</v>
      </c>
      <c r="H221" s="83"/>
      <c r="I221" s="83"/>
      <c r="J221" s="83"/>
      <c r="K221" s="83">
        <f>100</f>
        <v>100</v>
      </c>
      <c r="L221" s="83">
        <f>100</f>
        <v>100</v>
      </c>
      <c r="M221" s="83">
        <f>100</f>
        <v>100</v>
      </c>
      <c r="N221" s="83">
        <f>100</f>
        <v>100</v>
      </c>
      <c r="P221" s="1" t="b">
        <f t="shared" si="21"/>
        <v>1</v>
      </c>
    </row>
    <row r="222" spans="1:18" x14ac:dyDescent="0.25">
      <c r="A222" s="2" t="s">
        <v>536</v>
      </c>
      <c r="B222" s="3" t="s">
        <v>471</v>
      </c>
      <c r="C222" s="2" t="s">
        <v>487</v>
      </c>
      <c r="D222" s="2" t="s">
        <v>532</v>
      </c>
      <c r="E222" s="96" t="s">
        <v>547</v>
      </c>
      <c r="F222" s="96" t="s">
        <v>548</v>
      </c>
      <c r="G222" s="99">
        <v>9.9999999999999995E-8</v>
      </c>
      <c r="H222" s="83">
        <f>0.000001 / 10000</f>
        <v>9.9999999999999991E-11</v>
      </c>
      <c r="I222" s="83">
        <f>0.000001 / 10000</f>
        <v>9.9999999999999991E-11</v>
      </c>
      <c r="J222" s="83">
        <f>0.000001 / 10000</f>
        <v>9.9999999999999991E-11</v>
      </c>
      <c r="K222" s="83">
        <f>0.000001 / 10000 / 4</f>
        <v>2.4999999999999998E-11</v>
      </c>
      <c r="L222" s="83">
        <f>0.000001 / 10000 / 4 / 10</f>
        <v>2.4999999999999998E-12</v>
      </c>
      <c r="M222" s="83">
        <f>0.000001 / 10000 / 4 / 10</f>
        <v>2.4999999999999998E-12</v>
      </c>
      <c r="N222" s="83">
        <f>0.000001 / 10000 / 4</f>
        <v>2.4999999999999998E-11</v>
      </c>
      <c r="P222" s="1" t="b">
        <f t="shared" si="21"/>
        <v>0</v>
      </c>
    </row>
    <row r="223" spans="1:18" x14ac:dyDescent="0.25">
      <c r="A223" s="2" t="s">
        <v>537</v>
      </c>
      <c r="B223" s="3" t="s">
        <v>471</v>
      </c>
      <c r="C223" s="2" t="s">
        <v>487</v>
      </c>
      <c r="D223" s="2" t="s">
        <v>532</v>
      </c>
      <c r="E223" s="96" t="s">
        <v>549</v>
      </c>
      <c r="F223" s="96" t="s">
        <v>550</v>
      </c>
      <c r="G223" s="99">
        <f>2*0.00001</f>
        <v>2.0000000000000002E-5</v>
      </c>
      <c r="H223" s="83">
        <v>5.0000000000000002E-5</v>
      </c>
      <c r="I223" s="83">
        <v>1.0000000000000001E-5</v>
      </c>
      <c r="J223" s="83">
        <v>5.0000000000000002E-5</v>
      </c>
      <c r="K223" s="83">
        <v>1.0000000000000001E-5</v>
      </c>
      <c r="L223" s="83">
        <f>0.00001</f>
        <v>1.0000000000000001E-5</v>
      </c>
      <c r="M223" s="83">
        <f>0.00001</f>
        <v>1.0000000000000001E-5</v>
      </c>
      <c r="N223" s="83">
        <f>0.00001 * 10</f>
        <v>1E-4</v>
      </c>
      <c r="O223" s="83">
        <v>1.0000000000000001E-5</v>
      </c>
      <c r="P223" s="1" t="b">
        <f t="shared" si="21"/>
        <v>0</v>
      </c>
    </row>
    <row r="224" spans="1:18" x14ac:dyDescent="0.25">
      <c r="A224" s="2" t="s">
        <v>579</v>
      </c>
      <c r="B224" s="3" t="s">
        <v>471</v>
      </c>
      <c r="C224" s="2" t="s">
        <v>487</v>
      </c>
      <c r="D224" s="2" t="s">
        <v>532</v>
      </c>
      <c r="E224" s="96" t="s">
        <v>580</v>
      </c>
      <c r="F224" s="96" t="s">
        <v>550</v>
      </c>
      <c r="G224" s="99">
        <f>2*0.00001</f>
        <v>2.0000000000000002E-5</v>
      </c>
      <c r="H224" s="83">
        <v>1E-3</v>
      </c>
      <c r="I224" s="83">
        <v>1E-3</v>
      </c>
      <c r="J224" s="83">
        <v>1E-3</v>
      </c>
      <c r="K224" s="83">
        <v>1E-3</v>
      </c>
      <c r="L224" s="83">
        <f xml:space="preserve"> 0.001 * 10</f>
        <v>0.01</v>
      </c>
      <c r="M224" s="83">
        <f xml:space="preserve"> 0.001 * 10</f>
        <v>0.01</v>
      </c>
      <c r="N224" s="83">
        <v>1E-3</v>
      </c>
    </row>
    <row r="225" spans="1:16" x14ac:dyDescent="0.25">
      <c r="A225" s="2" t="s">
        <v>581</v>
      </c>
      <c r="B225" s="3" t="s">
        <v>471</v>
      </c>
      <c r="C225" s="2" t="s">
        <v>487</v>
      </c>
      <c r="D225" s="2" t="s">
        <v>532</v>
      </c>
      <c r="E225" s="96" t="s">
        <v>582</v>
      </c>
      <c r="F225" s="96" t="s">
        <v>550</v>
      </c>
      <c r="G225" s="99">
        <v>1.0000000000000001E-5</v>
      </c>
      <c r="H225" s="99">
        <v>1.0000000000000001E-5</v>
      </c>
      <c r="I225" s="99">
        <v>1.0000000000000001E-5</v>
      </c>
      <c r="J225" s="99">
        <v>1.0000000000000001E-5</v>
      </c>
      <c r="K225" s="99">
        <v>1.0000000000000001E-5</v>
      </c>
      <c r="L225" s="99">
        <f>0.00001 / 3</f>
        <v>3.3333333333333337E-6</v>
      </c>
      <c r="M225" s="99">
        <f>0.00001 / 3</f>
        <v>3.3333333333333337E-6</v>
      </c>
      <c r="N225" s="99">
        <v>1.0000000000000001E-5</v>
      </c>
      <c r="O225" s="99">
        <v>1.0000000000000001E-5</v>
      </c>
    </row>
    <row r="226" spans="1:16" x14ac:dyDescent="0.25">
      <c r="A226" s="2" t="s">
        <v>538</v>
      </c>
      <c r="B226" s="3" t="s">
        <v>471</v>
      </c>
      <c r="C226" s="2" t="s">
        <v>487</v>
      </c>
      <c r="D226" s="2" t="s">
        <v>532</v>
      </c>
      <c r="E226" s="96" t="s">
        <v>551</v>
      </c>
      <c r="F226" s="96" t="s">
        <v>506</v>
      </c>
      <c r="G226" s="99">
        <f>0.84*(0.36^2)</f>
        <v>0.10886399999999999</v>
      </c>
      <c r="H226" s="83">
        <f t="shared" ref="H226:N226" si="25">0.84*(0.36^2)</f>
        <v>0.10886399999999999</v>
      </c>
      <c r="I226" s="83">
        <f t="shared" si="25"/>
        <v>0.10886399999999999</v>
      </c>
      <c r="J226" s="83">
        <f t="shared" si="25"/>
        <v>0.10886399999999999</v>
      </c>
      <c r="K226" s="83">
        <f t="shared" si="25"/>
        <v>0.10886399999999999</v>
      </c>
      <c r="L226" s="83">
        <f t="shared" si="25"/>
        <v>0.10886399999999999</v>
      </c>
      <c r="M226" s="83">
        <f t="shared" si="25"/>
        <v>0.10886399999999999</v>
      </c>
      <c r="N226" s="83">
        <f t="shared" si="25"/>
        <v>0.10886399999999999</v>
      </c>
      <c r="P226" s="1" t="b">
        <f t="shared" si="21"/>
        <v>1</v>
      </c>
    </row>
    <row r="227" spans="1:16" x14ac:dyDescent="0.25">
      <c r="A227" s="2" t="s">
        <v>539</v>
      </c>
      <c r="B227" s="3" t="s">
        <v>471</v>
      </c>
      <c r="C227" s="2" t="s">
        <v>487</v>
      </c>
      <c r="D227" s="2" t="s">
        <v>532</v>
      </c>
      <c r="E227" s="96" t="s">
        <v>552</v>
      </c>
      <c r="F227" s="96" t="s">
        <v>495</v>
      </c>
      <c r="G227" s="100">
        <v>0.2</v>
      </c>
      <c r="H227" s="83">
        <v>0.2</v>
      </c>
      <c r="I227" s="83">
        <v>0.2</v>
      </c>
      <c r="J227" s="83">
        <v>0.2</v>
      </c>
      <c r="K227" s="83">
        <v>0.2</v>
      </c>
      <c r="L227" s="83">
        <v>0.2</v>
      </c>
      <c r="M227" s="83">
        <v>0.2</v>
      </c>
      <c r="N227" s="83">
        <v>0.2</v>
      </c>
      <c r="P227" s="1" t="b">
        <f t="shared" si="21"/>
        <v>1</v>
      </c>
    </row>
    <row r="228" spans="1:16" x14ac:dyDescent="0.25">
      <c r="A228" s="2" t="s">
        <v>540</v>
      </c>
      <c r="B228" s="3" t="s">
        <v>471</v>
      </c>
      <c r="C228" s="2" t="s">
        <v>487</v>
      </c>
      <c r="D228" s="2" t="s">
        <v>532</v>
      </c>
      <c r="E228" s="96" t="s">
        <v>553</v>
      </c>
      <c r="F228" s="96" t="s">
        <v>510</v>
      </c>
      <c r="G228" s="100" t="s">
        <v>476</v>
      </c>
      <c r="H228" s="83" t="s">
        <v>476</v>
      </c>
      <c r="I228" s="83" t="s">
        <v>476</v>
      </c>
      <c r="J228" s="83" t="s">
        <v>476</v>
      </c>
      <c r="K228" s="83" t="s">
        <v>476</v>
      </c>
      <c r="L228" s="83" t="s">
        <v>476</v>
      </c>
      <c r="M228" s="83" t="s">
        <v>476</v>
      </c>
      <c r="N228" s="83" t="s">
        <v>476</v>
      </c>
      <c r="P228" s="1" t="b">
        <f t="shared" si="21"/>
        <v>1</v>
      </c>
    </row>
    <row r="229" spans="1:16" x14ac:dyDescent="0.25">
      <c r="A229" s="2" t="s">
        <v>541</v>
      </c>
      <c r="B229" s="3" t="s">
        <v>471</v>
      </c>
      <c r="C229" s="2" t="s">
        <v>487</v>
      </c>
      <c r="D229" s="2" t="s">
        <v>532</v>
      </c>
      <c r="E229" s="96" t="s">
        <v>554</v>
      </c>
      <c r="F229" s="96" t="s">
        <v>510</v>
      </c>
      <c r="G229" s="100">
        <f>2*0.1</f>
        <v>0.2</v>
      </c>
      <c r="H229" s="83">
        <f t="shared" ref="H229:N229" si="26">2*0.1</f>
        <v>0.2</v>
      </c>
      <c r="I229" s="83">
        <f t="shared" si="26"/>
        <v>0.2</v>
      </c>
      <c r="J229" s="83">
        <f t="shared" si="26"/>
        <v>0.2</v>
      </c>
      <c r="K229" s="83">
        <f t="shared" si="26"/>
        <v>0.2</v>
      </c>
      <c r="L229" s="83">
        <f t="shared" si="26"/>
        <v>0.2</v>
      </c>
      <c r="M229" s="83">
        <f t="shared" si="26"/>
        <v>0.2</v>
      </c>
      <c r="N229" s="83">
        <f t="shared" si="26"/>
        <v>0.2</v>
      </c>
      <c r="P229" s="1" t="b">
        <f t="shared" si="21"/>
        <v>1</v>
      </c>
    </row>
    <row r="230" spans="1:16" x14ac:dyDescent="0.25">
      <c r="A230" s="2" t="s">
        <v>542</v>
      </c>
      <c r="B230" s="3" t="s">
        <v>471</v>
      </c>
      <c r="C230" s="2" t="s">
        <v>487</v>
      </c>
      <c r="D230" s="2" t="s">
        <v>532</v>
      </c>
      <c r="E230" s="96" t="s">
        <v>555</v>
      </c>
      <c r="F230" s="96" t="s">
        <v>510</v>
      </c>
      <c r="G230" s="100">
        <v>1E-3</v>
      </c>
      <c r="H230" s="83">
        <v>1E-3</v>
      </c>
      <c r="I230" s="83">
        <v>1E-3</v>
      </c>
      <c r="J230" s="83">
        <v>1E-3</v>
      </c>
      <c r="K230" s="83">
        <v>1E-3</v>
      </c>
      <c r="L230" s="83">
        <v>1E-3</v>
      </c>
      <c r="M230" s="83">
        <v>1E-3</v>
      </c>
      <c r="N230" s="83">
        <v>1E-3</v>
      </c>
      <c r="P230" s="1" t="b">
        <f t="shared" si="21"/>
        <v>1</v>
      </c>
    </row>
    <row r="231" spans="1:16" x14ac:dyDescent="0.25">
      <c r="A231" s="2" t="s">
        <v>543</v>
      </c>
      <c r="B231" s="3" t="s">
        <v>471</v>
      </c>
      <c r="C231" s="2" t="s">
        <v>487</v>
      </c>
      <c r="D231" s="2" t="s">
        <v>532</v>
      </c>
      <c r="E231" s="96" t="s">
        <v>556</v>
      </c>
      <c r="F231" s="96" t="s">
        <v>510</v>
      </c>
      <c r="G231" s="98">
        <v>1.0000000000000001E-5</v>
      </c>
      <c r="H231" s="83">
        <v>1.0000000000000001E-5</v>
      </c>
      <c r="I231" s="83">
        <v>1.0000000000000001E-5</v>
      </c>
      <c r="J231" s="83">
        <v>1.0000000000000001E-5</v>
      </c>
      <c r="K231" s="83">
        <f>0.00001 / 2</f>
        <v>5.0000000000000004E-6</v>
      </c>
      <c r="L231" s="83">
        <f>0.00001 /2</f>
        <v>5.0000000000000004E-6</v>
      </c>
      <c r="M231" s="83">
        <f>0.00001 /2</f>
        <v>5.0000000000000004E-6</v>
      </c>
      <c r="N231" s="83">
        <f>0.00001 / 2</f>
        <v>5.0000000000000004E-6</v>
      </c>
      <c r="O231" s="1">
        <f>0.00001 / 2</f>
        <v>5.0000000000000004E-6</v>
      </c>
      <c r="P231" s="1" t="b">
        <f t="shared" si="21"/>
        <v>1</v>
      </c>
    </row>
    <row r="232" spans="1:16" x14ac:dyDescent="0.25">
      <c r="A232" s="2" t="s">
        <v>583</v>
      </c>
      <c r="B232" s="3" t="s">
        <v>471</v>
      </c>
      <c r="C232" s="2" t="s">
        <v>487</v>
      </c>
      <c r="D232" s="2" t="s">
        <v>532</v>
      </c>
      <c r="E232" s="96" t="s">
        <v>584</v>
      </c>
      <c r="F232" s="96" t="s">
        <v>510</v>
      </c>
      <c r="G232" s="98">
        <v>1.0000000000000001E-5</v>
      </c>
      <c r="H232" s="83">
        <v>1.0000000000000001E-5</v>
      </c>
      <c r="I232" s="83">
        <v>1.0000000000000001E-5</v>
      </c>
      <c r="J232" s="83">
        <v>1.0000000000000001E-5</v>
      </c>
      <c r="K232" s="83">
        <f>0.00001 / 2</f>
        <v>5.0000000000000004E-6</v>
      </c>
      <c r="L232" s="83">
        <f>0.000000005 / 5</f>
        <v>1.0000000000000001E-9</v>
      </c>
      <c r="M232" s="83">
        <f>0.000000005 / 5</f>
        <v>1.0000000000000001E-9</v>
      </c>
      <c r="N232" s="83">
        <f>0.00001 / 2</f>
        <v>5.0000000000000004E-6</v>
      </c>
    </row>
    <row r="233" spans="1:16" x14ac:dyDescent="0.25">
      <c r="A233" s="2" t="s">
        <v>566</v>
      </c>
      <c r="B233" s="3" t="s">
        <v>471</v>
      </c>
      <c r="C233" s="3" t="s">
        <v>487</v>
      </c>
      <c r="D233" s="3" t="s">
        <v>532</v>
      </c>
      <c r="E233" s="30" t="s">
        <v>558</v>
      </c>
      <c r="F233" s="30" t="s">
        <v>559</v>
      </c>
      <c r="G233" s="83">
        <f t="shared" ref="G233:J233" si="27">0.00002 / 14 / 5</f>
        <v>2.8571428571428575E-7</v>
      </c>
      <c r="H233" s="83">
        <f t="shared" si="27"/>
        <v>2.8571428571428575E-7</v>
      </c>
      <c r="I233" s="83">
        <v>0</v>
      </c>
      <c r="J233" s="83">
        <f t="shared" si="27"/>
        <v>2.8571428571428575E-7</v>
      </c>
      <c r="K233" s="83">
        <v>0</v>
      </c>
      <c r="L233" s="83">
        <v>0</v>
      </c>
      <c r="M233" s="83">
        <v>0</v>
      </c>
      <c r="N233" s="83">
        <v>0</v>
      </c>
      <c r="P233" s="1" t="b">
        <f t="shared" si="21"/>
        <v>1</v>
      </c>
    </row>
    <row r="234" spans="1:16" x14ac:dyDescent="0.25">
      <c r="A234" s="2" t="s">
        <v>567</v>
      </c>
      <c r="B234" s="3" t="s">
        <v>471</v>
      </c>
      <c r="C234" s="3" t="s">
        <v>487</v>
      </c>
      <c r="D234" s="3" t="s">
        <v>532</v>
      </c>
      <c r="E234" s="30" t="s">
        <v>558</v>
      </c>
      <c r="F234" s="30" t="s">
        <v>559</v>
      </c>
      <c r="G234" s="83">
        <f t="shared" ref="G234:N234" si="28">0.00002 / 14 / 5 /10</f>
        <v>2.8571428571428575E-8</v>
      </c>
      <c r="H234" s="83">
        <f t="shared" si="28"/>
        <v>2.8571428571428575E-8</v>
      </c>
      <c r="I234" s="83">
        <f t="shared" si="28"/>
        <v>2.8571428571428575E-8</v>
      </c>
      <c r="J234" s="83">
        <f t="shared" si="28"/>
        <v>2.8571428571428575E-8</v>
      </c>
      <c r="K234" s="83">
        <f t="shared" si="28"/>
        <v>2.8571428571428575E-8</v>
      </c>
      <c r="L234" s="83">
        <v>0</v>
      </c>
      <c r="M234" s="83">
        <v>0</v>
      </c>
      <c r="N234" s="83">
        <f t="shared" si="28"/>
        <v>2.8571428571428575E-8</v>
      </c>
      <c r="P234" s="1" t="b">
        <f t="shared" si="21"/>
        <v>0</v>
      </c>
    </row>
  </sheetData>
  <conditionalFormatting sqref="G233:I2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4:N234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N12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N210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N211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N21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N21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N214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N215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N218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N221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N22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6:N226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7:N232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23:O223 N224 H223:M224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3:K2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33:N234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7:R1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9:R129 H129:O129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0:R130 H130:N13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2:R132 H132:O132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3:R133 H133:N133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8:R138 H138:O13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4:R144 H144:N14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0:R160 H160:N160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6:R166 H166:N166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2025-03-30T18:20:15Z</dcterms:modified>
</cp:coreProperties>
</file>