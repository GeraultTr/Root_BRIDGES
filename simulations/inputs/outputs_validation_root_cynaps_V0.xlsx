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GERA~1\AppData\Local\Temp\scp25823\home\torisuten\package\Wheat-BRIDGES\Root_BRIDGES\simulations\inputs\"/>
    </mc:Choice>
  </mc:AlternateContent>
  <xr:revisionPtr revIDLastSave="0" documentId="13_ncr:1_{DBCA5BA5-B128-42BB-AFFB-19DEB326D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reference_list&amp;conversion" sheetId="5" r:id="rId2"/>
    <sheet name="alignment_estimator" sheetId="6" r:id="rId3"/>
    <sheet name="exp_growth_parameters" sheetId="7" r:id="rId4"/>
    <sheet name="Comparison_with_parameters.py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I6" i="2"/>
  <c r="S6" i="2"/>
  <c r="R6" i="2"/>
  <c r="H6" i="2"/>
  <c r="S19" i="2"/>
  <c r="R20" i="2"/>
  <c r="F20" i="2"/>
  <c r="S18" i="2"/>
  <c r="R19" i="2"/>
  <c r="F19" i="2"/>
  <c r="S17" i="2"/>
  <c r="R18" i="2"/>
  <c r="F18" i="2"/>
  <c r="S16" i="2"/>
  <c r="R17" i="2"/>
  <c r="F17" i="2"/>
  <c r="S15" i="2"/>
  <c r="R16" i="2"/>
  <c r="F16" i="2"/>
  <c r="S14" i="2"/>
  <c r="R15" i="2"/>
  <c r="F15" i="2"/>
  <c r="S13" i="2"/>
  <c r="R14" i="2"/>
  <c r="F14" i="2"/>
  <c r="S12" i="2"/>
  <c r="R13" i="2"/>
  <c r="F13" i="2"/>
  <c r="J5" i="2"/>
  <c r="H3" i="2" a="1"/>
  <c r="H3" i="2" s="1"/>
  <c r="G3" i="2" a="1"/>
  <c r="G3" i="2" s="1"/>
  <c r="W6" i="5"/>
  <c r="X6" i="5"/>
  <c r="Y6" i="5"/>
  <c r="V6" i="5"/>
  <c r="AA6" i="5"/>
  <c r="AB6" i="5"/>
  <c r="AC6" i="5"/>
  <c r="N6" i="5"/>
  <c r="I6" i="5"/>
  <c r="G6" i="5"/>
  <c r="AA5" i="5"/>
  <c r="AB5" i="5"/>
  <c r="AC5" i="5"/>
  <c r="J12" i="2" a="1"/>
  <c r="J12" i="2" s="1"/>
  <c r="J11" i="2" a="1"/>
  <c r="J11" i="2" s="1"/>
  <c r="W5" i="5"/>
  <c r="X5" i="5"/>
  <c r="Y5" i="5"/>
  <c r="V5" i="5"/>
  <c r="S5" i="5"/>
  <c r="R5" i="5"/>
  <c r="N5" i="5"/>
  <c r="M2" i="5"/>
  <c r="I5" i="5"/>
  <c r="G5" i="5"/>
  <c r="R12" i="2"/>
  <c r="S11" i="2"/>
  <c r="H12" i="2" a="1"/>
  <c r="H12" i="2" s="1"/>
  <c r="G12" i="2" a="1"/>
  <c r="G12" i="2" s="1"/>
  <c r="G4" i="5"/>
  <c r="AA4" i="5"/>
  <c r="AB4" i="5"/>
  <c r="AC4" i="5"/>
  <c r="W4" i="5"/>
  <c r="Y4" i="5"/>
  <c r="V4" i="5"/>
  <c r="S4" i="5"/>
  <c r="R4" i="5"/>
  <c r="X4" i="5" s="1"/>
  <c r="I12" i="2" s="1" a="1"/>
  <c r="I12" i="2" s="1"/>
  <c r="E4" i="5"/>
  <c r="I4" i="5"/>
  <c r="G11" i="2" l="1" a="1"/>
  <c r="G11" i="2" s="1"/>
  <c r="H11" i="2" a="1"/>
  <c r="H11" i="2" s="1"/>
  <c r="I11" i="2" a="1"/>
  <c r="I11" i="2" s="1"/>
  <c r="W3" i="5"/>
  <c r="X3" i="5"/>
  <c r="Y3" i="5"/>
  <c r="V3" i="5"/>
  <c r="C2" i="7" l="1"/>
  <c r="F2" i="6"/>
  <c r="M2" i="6" s="1"/>
  <c r="F3" i="6" l="1"/>
  <c r="F4" i="6" s="1"/>
  <c r="F5" i="6" s="1"/>
  <c r="F6" i="6" s="1"/>
  <c r="M6" i="6" s="1"/>
  <c r="M5" i="6"/>
  <c r="M4" i="6"/>
  <c r="M3" i="6"/>
  <c r="I6" i="6" l="1"/>
  <c r="J6" i="6" s="1"/>
  <c r="G5" i="6"/>
  <c r="I5" i="6" s="1"/>
  <c r="J5" i="6" s="1"/>
  <c r="G4" i="6"/>
  <c r="I4" i="6" s="1"/>
  <c r="J4" i="6" s="1"/>
  <c r="G3" i="6"/>
  <c r="I3" i="6" s="1"/>
  <c r="J3" i="6" s="1"/>
  <c r="I2" i="6"/>
  <c r="J2" i="6" s="1"/>
  <c r="H3" i="6"/>
  <c r="H4" i="6"/>
  <c r="H5" i="6"/>
  <c r="H6" i="6"/>
  <c r="H2" i="6"/>
  <c r="D6" i="6"/>
  <c r="D3" i="6"/>
  <c r="D4" i="6"/>
  <c r="D5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" i="6"/>
  <c r="H4" i="2"/>
  <c r="H5" i="2"/>
  <c r="H7" i="2"/>
  <c r="H8" i="2"/>
  <c r="H9" i="2"/>
  <c r="H10" i="2"/>
  <c r="H2" i="2"/>
  <c r="AC3" i="5"/>
  <c r="AB3" i="5"/>
  <c r="AA3" i="5"/>
  <c r="I3" i="5"/>
  <c r="G2" i="5"/>
  <c r="S10" i="2" l="1"/>
  <c r="R11" i="2"/>
  <c r="F3" i="2" l="1"/>
  <c r="S9" i="2" l="1"/>
  <c r="S8" i="2"/>
  <c r="S7" i="2"/>
  <c r="R10" i="2"/>
  <c r="R9" i="2"/>
  <c r="R8" i="2"/>
  <c r="F9" i="2"/>
  <c r="Y2" i="5"/>
  <c r="X2" i="5"/>
  <c r="W2" i="5"/>
  <c r="V2" i="5"/>
  <c r="Q2" i="5"/>
  <c r="P2" i="5"/>
  <c r="I5" i="2"/>
  <c r="R7" i="2"/>
  <c r="S5" i="2" l="1"/>
  <c r="R5" i="2"/>
  <c r="F2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<sst xmlns="http://schemas.openxmlformats.org/spreadsheetml/2006/main" count="683" uniqueCount="341">
  <si>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</si>
  <si>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</si>
  <si>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</si>
  <si>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</si>
  <si>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</si>
  <si>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</si>
  <si>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</si>
  <si>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</si>
  <si>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</si>
  <si>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</si>
  <si>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</si>
  <si>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</si>
  <si>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</si>
  <si>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</si>
  <si>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</si>
  <si>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</si>
  <si>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</si>
  <si>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</si>
  <si>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</si>
  <si>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</si>
  <si>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</si>
  <si>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</si>
  <si>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</si>
  <si>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</si>
  <si>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</si>
  <si>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</si>
  <si>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</si>
  <si>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</si>
  <si>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</si>
  <si>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</si>
  <si>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</si>
  <si>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</si>
  <si>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</si>
  <si>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</si>
  <si>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</si>
  <si>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</si>
  <si>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</si>
  <si>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</si>
  <si>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</si>
  <si>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</si>
  <si>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</si>
  <si>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</si>
  <si>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</si>
  <si>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</si>
  <si>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</si>
  <si>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</si>
  <si>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</si>
  <si>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</si>
  <si>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</si>
  <si>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</si>
  <si>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</si>
  <si>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</si>
  <si>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</si>
  <si>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</si>
  <si>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</si>
  <si>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</si>
  <si>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</si>
  <si>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</si>
  <si>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</si>
  <si>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</si>
  <si>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</si>
  <si>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</si>
  <si>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</si>
  <si>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</si>
  <si>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</si>
  <si>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</si>
  <si>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</si>
  <si>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</si>
  <si>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</si>
  <si>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</si>
  <si>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</si>
  <si>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</si>
  <si>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</si>
  <si>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</si>
  <si>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</si>
  <si>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</si>
  <si>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</si>
  <si>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</si>
  <si>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</si>
  <si>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</si>
  <si>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</si>
  <si>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</si>
  <si>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</si>
  <si>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</si>
  <si>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</si>
  <si>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</si>
  <si>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n_seminal_roots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</si>
  <si>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</si>
  <si>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</si>
  <si>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</si>
  <si>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</si>
  <si>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</si>
  <si>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</si>
  <si>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</si>
  <si>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</si>
  <si>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</si>
  <si>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</si>
  <si>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</si>
  <si>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</si>
  <si>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</si>
  <si>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</si>
  <si>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</si>
  <si>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</si>
  <si>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</si>
  <si>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</si>
  <si>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</si>
  <si>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</si>
  <si>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</si>
  <si>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</si>
  <si>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</si>
  <si>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</si>
  <si>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</si>
  <si>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</si>
  <si>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</si>
  <si>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</si>
  <si>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</si>
  <si>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</si>
  <si>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</si>
  <si>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</si>
  <si>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</si>
  <si>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</si>
  <si>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</si>
  <si>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</si>
  <si>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</si>
  <si>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</si>
  <si>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</si>
  <si>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</si>
  <si>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</si>
  <si>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</si>
  <si>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</si>
  <si>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</si>
  <si>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</si>
  <si>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</si>
  <si>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</si>
  <si>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</si>
  <si>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</si>
  <si>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</si>
  <si>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</si>
  <si>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</si>
  <si>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</si>
  <si>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</si>
  <si>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</si>
  <si>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</si>
  <si>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</si>
  <si>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</si>
  <si>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</si>
  <si>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</si>
  <si>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</si>
  <si>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</si>
  <si>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</si>
  <si>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</si>
  <si>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</si>
  <si>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</si>
  <si>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</si>
  <si>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</si>
  <si>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</si>
  <si>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</si>
  <si>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</si>
  <si>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</si>
  <si>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</si>
  <si>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</si>
  <si>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</si>
  <si>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</si>
  <si>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</si>
  <si>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</si>
  <si>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</si>
  <si>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</si>
  <si>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List from 'updated_parameters.csv'</t>
  </si>
  <si>
    <t>List from 'scenario_as_columns' sheet</t>
  </si>
  <si>
    <t>Missing parameters in 'scenario_as_columns' sheet</t>
  </si>
  <si>
    <t>Plant_genotype</t>
  </si>
  <si>
    <t>mol.g-1</t>
  </si>
  <si>
    <t>expected_correlation_with</t>
  </si>
  <si>
    <t>distance_from_tip</t>
  </si>
  <si>
    <t>positive_correlation</t>
  </si>
  <si>
    <t>TRUE</t>
  </si>
  <si>
    <t>check_single_values</t>
  </si>
  <si>
    <t>check_sum</t>
  </si>
  <si>
    <t>check_mean</t>
  </si>
  <si>
    <t>FALSE</t>
  </si>
  <si>
    <t>Nm</t>
  </si>
  <si>
    <t>Root segment symplasmic mineral nitrogen massic concentrations (mol of Nitrate + Amonium per g of dry structuram mass)</t>
  </si>
  <si>
    <t>(Siddiqi et al. 1989; Walker et al. 2001; Devienne, Mary, et Lamaze 1994; Barillot, Chambon, et Andrieu 2016)</t>
  </si>
  <si>
    <t>Soil -&gt; Root segment symplasm mineral nitrogen active import</t>
  </si>
  <si>
    <t>normalize_by</t>
  </si>
  <si>
    <t>struct_mass</t>
  </si>
  <si>
    <t>length</t>
  </si>
  <si>
    <t>root_system</t>
  </si>
  <si>
    <t>root_segment</t>
  </si>
  <si>
    <t>(Kuhlmann et Barraclough 1987 ; Le Deunff, Malagoli, et Decau 2019; York, Silberbush, et Lynch 2016)</t>
  </si>
  <si>
    <t>import_Nm</t>
  </si>
  <si>
    <t>Plant scale Soil -&gt; Root segment symplasm mineral nitrogen active import</t>
  </si>
  <si>
    <t>mol.s-1.g-1</t>
  </si>
  <si>
    <t>(Fischer et al. 1966)</t>
  </si>
  <si>
    <t>mol.s-1.m-1</t>
  </si>
  <si>
    <t>Nm_root_shoot_xylem</t>
  </si>
  <si>
    <t>Export of nitrate through the water advection flux of xylem</t>
  </si>
  <si>
    <t>mol.h-1.g-1</t>
  </si>
  <si>
    <t>(Fischer et al. 1966; Gauthier et al. 2020)</t>
  </si>
  <si>
    <t>target_variable</t>
  </si>
  <si>
    <t>reference</t>
  </si>
  <si>
    <t>original_unit</t>
  </si>
  <si>
    <t>conversion_assumptions</t>
  </si>
  <si>
    <t>target_unit</t>
  </si>
  <si>
    <t>mean_original_value</t>
  </si>
  <si>
    <t>std_original_value</t>
  </si>
  <si>
    <t>min_original_value</t>
  </si>
  <si>
    <t>max_original_value</t>
  </si>
  <si>
    <t>repartition_law</t>
  </si>
  <si>
    <t>repartition_arguments</t>
  </si>
  <si>
    <t>variable description</t>
  </si>
  <si>
    <t>converted_mean_value</t>
  </si>
  <si>
    <t>converted_max_value</t>
  </si>
  <si>
    <t>converted_std_value</t>
  </si>
  <si>
    <t>Sampling technique</t>
  </si>
  <si>
    <t>organ type</t>
  </si>
  <si>
    <t>York et al. 2016</t>
  </si>
  <si>
    <t>mol.m-1.s-1</t>
  </si>
  <si>
    <t>local nitrate uptake</t>
  </si>
  <si>
    <t>PVC tube with silicon septum filled with nutrient solution and after 1h remaining concentration was assessed through septum (destructive, with root segment structural properties also measured).</t>
  </si>
  <si>
    <t>Calculation technique</t>
  </si>
  <si>
    <t xml:space="preserve">Variation of flux to estimate MM parameters were performed between 250 µM and 2.5 mM concentrations. </t>
  </si>
  <si>
    <t>pmol.cm-2.s-1</t>
  </si>
  <si>
    <t>Modality selection comment</t>
  </si>
  <si>
    <t>Ignored kinetics observed at 0 mM which are not realistic</t>
  </si>
  <si>
    <t>converted_min_value</t>
  </si>
  <si>
    <t>Seminal radius = 2e-4 m</t>
  </si>
  <si>
    <t>correlation</t>
  </si>
  <si>
    <t>parameter_bounds</t>
  </si>
  <si>
    <t>[(0., -1)]</t>
  </si>
  <si>
    <t>scale</t>
  </si>
  <si>
    <t>root segment</t>
  </si>
  <si>
    <t>seminal</t>
  </si>
  <si>
    <t>output</t>
  </si>
  <si>
    <t>explanation</t>
  </si>
  <si>
    <t>unit</t>
  </si>
  <si>
    <t>references</t>
  </si>
  <si>
    <t>min</t>
  </si>
  <si>
    <t>max</t>
  </si>
  <si>
    <t>radial_import_water</t>
  </si>
  <si>
    <t>axial_export_water_up</t>
  </si>
  <si>
    <t>Import of water from soil to the xylem</t>
  </si>
  <si>
    <t>Collar export to aerial organs</t>
  </si>
  <si>
    <t>Pa</t>
  </si>
  <si>
    <t>Xylem hydrostatic water potential</t>
  </si>
  <si>
    <t>check_collar</t>
  </si>
  <si>
    <t>AA</t>
  </si>
  <si>
    <t>Root segment symplasmic amino acid massic concentrations (mol of Nitrate + Amonium per g of dry structuram mass)</t>
  </si>
  <si>
    <t>diffusion_AA_soil+diffusion_AA_soil_xylem-import_AA</t>
  </si>
  <si>
    <t>Raw amino-acid rhizodeposition</t>
  </si>
  <si>
    <t>Common knowledge</t>
  </si>
  <si>
    <t>Cao et al., 2021</t>
  </si>
  <si>
    <t>age (days)</t>
  </si>
  <si>
    <t>root system</t>
  </si>
  <si>
    <t>split root half 15N labelled</t>
  </si>
  <si>
    <t>Isotope mass balance (Hupe et al. 2016)</t>
  </si>
  <si>
    <t>Only 35 days to stay in vegetative stage</t>
  </si>
  <si>
    <t>mg.plant-1</t>
  </si>
  <si>
    <t>mol.g-1.s-1</t>
  </si>
  <si>
    <t>usually_passing</t>
  </si>
  <si>
    <t>std</t>
  </si>
  <si>
    <t>days since sowing</t>
  </si>
  <si>
    <t>time (h)</t>
  </si>
  <si>
    <t>Constant mean daily temperature (°C)</t>
  </si>
  <si>
    <t>Mean temperature data (°C)</t>
  </si>
  <si>
    <t>thermal time if constant average (°C.d)</t>
  </si>
  <si>
    <t>thermal time if variable average (°C.d)</t>
  </si>
  <si>
    <t>FW data (g)</t>
  </si>
  <si>
    <t>DW data (g)</t>
  </si>
  <si>
    <t>DW computed (g)</t>
  </si>
  <si>
    <t>plotted DW (g)</t>
  </si>
  <si>
    <t>exp_b</t>
  </si>
  <si>
    <t>exp_a</t>
  </si>
  <si>
    <t>predict if data missing (g DW)</t>
  </si>
  <si>
    <t>paper</t>
  </si>
  <si>
    <t>specie</t>
  </si>
  <si>
    <t>variety</t>
  </si>
  <si>
    <t>Triticum aestivum</t>
  </si>
  <si>
    <t>Fischer et Kohn 1966</t>
  </si>
  <si>
    <t>R2</t>
  </si>
  <si>
    <t>Dekalb</t>
  </si>
  <si>
    <t>Liaochun 17</t>
  </si>
  <si>
    <t>Zea mays</t>
  </si>
  <si>
    <t>heterogeneity</t>
  </si>
  <si>
    <t>hydroponics</t>
  </si>
  <si>
    <t>homogeneous</t>
  </si>
  <si>
    <t>heterogeneous (binary)</t>
  </si>
  <si>
    <t>soil</t>
  </si>
  <si>
    <t>soil type</t>
  </si>
  <si>
    <t>Themal age (°C.days)</t>
  </si>
  <si>
    <t>Filters</t>
  </si>
  <si>
    <t>no</t>
  </si>
  <si>
    <t>sand</t>
  </si>
  <si>
    <t>diffusion_AA_soil+diffusion_AA_soil_xylem</t>
  </si>
  <si>
    <t>Lessufleur et al. 2007</t>
  </si>
  <si>
    <t>Raw rate of organic nitrogen rhizodeposition</t>
  </si>
  <si>
    <t>Net rate of organic nitrogen rhizodeposition</t>
  </si>
  <si>
    <t>Lolium perenne</t>
  </si>
  <si>
    <t>Parallel measure of amino acid 15N influx and % of 15N in the medium</t>
  </si>
  <si>
    <t>15N efflux has been computed knowing the influx and measuring the decrease in 15N abundance vs 14N in the medium</t>
  </si>
  <si>
    <t>µmol.g-1 DW.h-1</t>
  </si>
  <si>
    <t>Values for Serine and ryegrass as it represents closest specie to wheat</t>
  </si>
  <si>
    <t>o Using the reported proportion of serine (21.2%) in root exudates
o number of N per serine = 1</t>
  </si>
  <si>
    <t xml:space="preserve">
- massic rate was constant over the growth period
- with supposed exp growth paremeters derived from seed mass and measured FW / 10 at 35 days = 325 mg (Fig3). A is derived from Fischer 1966. b is derived from this study (measured mass).
- with the molar mass supposed to correspond to 14N only.
- with weather data from https://www.ncei.noaa.gov/access/search/data-search/daily-summaries?pageNum=1&amp;startDate=2014-04-05T00:00:00&amp;endDate=2014-06-14T23:59:59&amp;bbox=42.198,123.027,41.386,123.839
- mean number of N = 1</t>
  </si>
  <si>
    <t>Net amino-acid rhizodeposition</t>
  </si>
  <si>
    <t>Carvalais et al. 2011</t>
  </si>
  <si>
    <t>Surprise</t>
  </si>
  <si>
    <t>Solution sampling</t>
  </si>
  <si>
    <t>Analyzed with</t>
  </si>
  <si>
    <t>15N isotopy</t>
  </si>
  <si>
    <t>HPLC</t>
  </si>
  <si>
    <t>Only control because we don't consider stess yet</t>
  </si>
  <si>
    <t>pmol.g-1 FW.h-1</t>
  </si>
  <si>
    <t>o Supposing the DW/FW ratio equals 0.1</t>
  </si>
  <si>
    <t>Rigano et al. 1966</t>
  </si>
  <si>
    <t>Hordeum vulgare</t>
  </si>
  <si>
    <t>distica penice</t>
  </si>
  <si>
    <t>After frozen grounding, 20/80 water/ethanol extraction</t>
  </si>
  <si>
    <t>Ignored points before 2h because seedlings were grown in N free medium before</t>
  </si>
  <si>
    <t>µmol glutamine.g-1 FW</t>
  </si>
  <si>
    <t>Massic concentration of total soluble amino acids</t>
  </si>
  <si>
    <t>o Supposing the DW/FW ratio equals 0.2
o Supposing glutamine accounts for 15 % of total amino acids from Lessufleur et al. 2007</t>
  </si>
  <si>
    <t>mean value</t>
  </si>
  <si>
    <t>Siddiqi et al., 1989</t>
  </si>
  <si>
    <t>Massic concentration of nitrate and amonium</t>
  </si>
  <si>
    <t>klondike</t>
  </si>
  <si>
    <t>xylem_pressure_in</t>
  </si>
  <si>
    <t>comment</t>
  </si>
  <si>
    <t>Prefered validating on Cao since it is field conditions matching Swinnen temperatures</t>
  </si>
  <si>
    <t>deficit_Nm</t>
  </si>
  <si>
    <t>mol.s-1</t>
  </si>
  <si>
    <t>Root segment nitrate deficit introduced for model stability</t>
  </si>
  <si>
    <t>deficit_AA</t>
  </si>
  <si>
    <t>deficit_AA_phloem</t>
  </si>
  <si>
    <t>deficit_xylem_AA</t>
  </si>
  <si>
    <t>deficit_hexose_reserve</t>
  </si>
  <si>
    <t>deficit_hexose_root</t>
  </si>
  <si>
    <t>deficit_sucrose_root</t>
  </si>
  <si>
    <t>deficit_xylem_Nm</t>
  </si>
  <si>
    <t>Devienne et al. 1994</t>
  </si>
  <si>
    <t>Azevedo et al.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</si>
</sst>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0" xfId="0" applyAlignment="1">
      <alignment horizontal="left"/>
    </xf>
    <xf numFmtId="0" fontId="0" fillId="0" borderId="10" xfId="0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 applyAlignment="1">
      <alignment horizontal="left" vertical="center" wrapText="1"/>
    </xf>
    <xf numFmtId="0" fontId="18" fillId="0" borderId="10" xfId="0" applyFont="1" applyBorder="1"/>
    <xf numFmtId="11" fontId="0" fillId="0" borderId="10" xfId="0" applyNumberFormat="1" applyBorder="1"/>
    <xf numFmtId="20" fontId="16" fillId="0" borderId="0" xfId="0" applyNumberFormat="1" applyFont="1"/>
    <xf numFmtId="0" fontId="0" fillId="0" borderId="0" xfId="0" applyAlignment="1">
      <alignment wrapText="1"/>
    </xf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36" borderId="10" xfId="0" applyFill="1" applyBorder="1"/>
    <xf numFmtId="11" fontId="0" fillId="36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alignment_estimator!$F$2:$F$6</c:f>
              <c:numCache>
                <c:formatCode>General</c:formatCode>
                <c:ptCount val="5"/>
                <c:pt idx="0">
                  <c:v>15</c:v>
                </c:pt>
                <c:pt idx="1">
                  <c:v>45</c:v>
                </c:pt>
                <c:pt idx="2">
                  <c:v>75</c:v>
                </c:pt>
                <c:pt idx="3">
                  <c:v>90</c:v>
                </c:pt>
                <c:pt idx="4">
                  <c:v>525</c:v>
                </c:pt>
              </c:numCache>
            </c:numRef>
          </c:xVal>
          <c:yVal>
            <c:numRef>
              <c:f>alignment_estimator!$J$2:$J$6</c:f>
              <c:numCache>
                <c:formatCode>General</c:formatCode>
                <c:ptCount val="5"/>
                <c:pt idx="0">
                  <c:v>3.5000000000000005E-3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0-489C-9F0E-631FEFA0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786528"/>
        <c:axId val="246787008"/>
      </c:scatterChart>
      <c:valAx>
        <c:axId val="24678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87008"/>
        <c:crosses val="autoZero"/>
        <c:crossBetween val="midCat"/>
      </c:valAx>
      <c:valAx>
        <c:axId val="2467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8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76200</xdr:colOff>
      <xdr:row>2</xdr:row>
      <xdr:rowOff>33337</xdr:rowOff>
    </xdr:from>
    <xdr:ext cx="2415853" cy="4260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FDE54BC4-F4F3-C828-601E-D54A73C69C6D}"/>
                </a:ext>
              </a:extLst>
            </xdr:cNvPr>
            <xdr:cNvSpPr txBox="1"/>
          </xdr:nvSpPr>
          <xdr:spPr>
            <a:xfrm>
              <a:off x="28575000" y="414337"/>
              <a:ext cx="2415853" cy="426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𝑁𝑑𝑓𝑅</m:t>
                        </m:r>
                      </m:e>
                    </m:nary>
                    <m:r>
                      <m:rPr>
                        <m:nor/>
                      </m:rPr>
                      <a:rPr lang="fr-FR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Massic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rate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∗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∆</m:t>
                    </m:r>
                    <m:r>
                      <a:rPr lang="fr-F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𝑡</m:t>
                    </m:r>
                    <m:r>
                      <a:rPr lang="fr-F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∗</m:t>
                    </m:r>
                    <m:nary>
                      <m:naryPr>
                        <m:ctrlP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0</m:t>
                        </m:r>
                      </m:sub>
                      <m:sup>
                        <m: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𝑇</m:t>
                        </m:r>
                      </m:sup>
                      <m:e>
                        <m: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𝑎</m:t>
                        </m:r>
                        <m:sSup>
                          <m:sSupPr>
                            <m:ctrlP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𝑏𝑡</m:t>
                            </m:r>
                          </m:sup>
                        </m:sSup>
                        <m: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.</m:t>
                        </m:r>
                        <m:r>
                          <a:rPr lang="fr-F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𝑑𝑡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FDE54BC4-F4F3-C828-601E-D54A73C69C6D}"/>
                </a:ext>
              </a:extLst>
            </xdr:cNvPr>
            <xdr:cNvSpPr txBox="1"/>
          </xdr:nvSpPr>
          <xdr:spPr>
            <a:xfrm>
              <a:off x="28575000" y="414337"/>
              <a:ext cx="2415853" cy="4260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</a:t>
              </a:r>
              <a:r>
                <a:rPr lang="fr-FR" sz="1100" b="0" i="0">
                  <a:latin typeface="Cambria Math" panose="02040503050406030204" pitchFamily="18" charset="0"/>
                </a:rPr>
                <a:t>𝑁𝑑𝑓𝑅 "=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Massic_rate*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 ∆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𝑡∗∫24_0^𝑇▒〖𝑎𝑒^𝑏𝑡.𝑑𝑡〗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71437</xdr:rowOff>
    </xdr:from>
    <xdr:to>
      <xdr:col>10</xdr:col>
      <xdr:colOff>190500</xdr:colOff>
      <xdr:row>23</xdr:row>
      <xdr:rowOff>147637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728C3A-8E28-90F4-C000-A7B7F97D3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S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8" sqref="H28"/>
    </sheetView>
  </sheetViews>
  <sheetFormatPr defaultColWidth="11.42578125" defaultRowHeight="15" x14ac:dyDescent="0.25"/>
  <cols>
    <col min="1" max="1" width="20" customWidth="1"/>
    <col min="2" max="2" width="32.7109375" style="1" customWidth="1"/>
    <col min="3" max="3" width="27.42578125" customWidth="1"/>
    <col min="4" max="4" width="15.42578125" customWidth="1"/>
    <col min="5" max="6" width="17" customWidth="1"/>
    <col min="7" max="8" width="19.5703125" style="3" customWidth="1"/>
    <col min="9" max="9" width="15.85546875" style="1" customWidth="1"/>
    <col min="10" max="17" width="15.140625" style="1" customWidth="1"/>
    <col min="18" max="18" width="19.7109375" customWidth="1"/>
    <col min="19" max="19" width="20.7109375" customWidth="1"/>
  </cols>
  <sheetData>
    <row r="1" spans="1:19" s="1" customFormat="1" ht="30" x14ac:dyDescent="0.25">
      <c r="A1" s="1" t="s">
        <v>290</v>
      </c>
      <c r="B1" s="5" t="s">
        <v>233</v>
      </c>
      <c r="C1" s="5" t="s">
        <v>234</v>
      </c>
      <c r="D1" s="5" t="s">
        <v>235</v>
      </c>
      <c r="E1" s="5" t="s">
        <v>236</v>
      </c>
      <c r="F1" s="5" t="s">
        <v>184</v>
      </c>
      <c r="G1" s="6" t="s">
        <v>322</v>
      </c>
      <c r="H1" s="6" t="s">
        <v>260</v>
      </c>
      <c r="I1" s="7" t="s">
        <v>237</v>
      </c>
      <c r="J1" s="7" t="s">
        <v>238</v>
      </c>
      <c r="K1" s="7" t="s">
        <v>259</v>
      </c>
      <c r="L1" s="7" t="s">
        <v>327</v>
      </c>
      <c r="M1" s="7" t="s">
        <v>230</v>
      </c>
      <c r="N1" s="7" t="s">
        <v>176</v>
      </c>
      <c r="O1" s="7" t="s">
        <v>245</v>
      </c>
      <c r="P1" s="7" t="s">
        <v>177</v>
      </c>
      <c r="Q1" s="7" t="s">
        <v>178</v>
      </c>
      <c r="R1" s="5" t="s">
        <v>172</v>
      </c>
      <c r="S1" s="5" t="s">
        <v>174</v>
      </c>
    </row>
    <row r="2" spans="1:19" x14ac:dyDescent="0.25">
      <c r="A2" s="13" t="s">
        <v>275</v>
      </c>
      <c r="B2" s="8" t="s">
        <v>180</v>
      </c>
      <c r="C2" s="4" t="s">
        <v>181</v>
      </c>
      <c r="D2" s="4" t="s">
        <v>171</v>
      </c>
      <c r="E2" s="4" t="s">
        <v>182</v>
      </c>
      <c r="F2" s="4" t="e">
        <f>NA()</f>
        <v>#N/A</v>
      </c>
      <c r="G2" s="9">
        <v>1E-4</v>
      </c>
      <c r="H2" s="9" t="e">
        <f>NA()</f>
        <v>#N/A</v>
      </c>
      <c r="I2" s="9">
        <v>1.0000000000000001E-5</v>
      </c>
      <c r="J2" s="9">
        <v>5.0000000000000001E-3</v>
      </c>
      <c r="K2" s="9" t="s">
        <v>175</v>
      </c>
      <c r="L2" s="9"/>
      <c r="M2" s="9" t="s">
        <v>188</v>
      </c>
      <c r="N2" s="4" t="s">
        <v>179</v>
      </c>
      <c r="O2" s="9" t="s">
        <v>179</v>
      </c>
      <c r="P2" s="9" t="s">
        <v>179</v>
      </c>
      <c r="Q2" s="16" t="s">
        <v>175</v>
      </c>
      <c r="R2" s="4" t="s">
        <v>173</v>
      </c>
      <c r="S2" s="9" t="s">
        <v>179</v>
      </c>
    </row>
    <row r="3" spans="1:19" x14ac:dyDescent="0.25">
      <c r="A3" s="14" t="s">
        <v>291</v>
      </c>
      <c r="B3" s="8" t="s">
        <v>246</v>
      </c>
      <c r="C3" s="4" t="s">
        <v>247</v>
      </c>
      <c r="D3" s="4" t="s">
        <v>171</v>
      </c>
      <c r="E3" s="4" t="s">
        <v>340</v>
      </c>
      <c r="F3" s="4" t="e">
        <f>NA()</f>
        <v>#N/A</v>
      </c>
      <c r="G3" s="9" cm="1">
        <f t="array" ref="G3">AVERAGE(_xlfn._xlws.FILTER('reference_list&amp;conversion'!V:V, ('reference_list&amp;conversion'!$A:$A=$B3)*IF($A$3="no",1,'reference_list&amp;conversion'!$D:$D=$A$3)))</f>
        <v>1.6393323996265142E-4</v>
      </c>
      <c r="H3" s="9" t="e" cm="1">
        <f t="array" ref="H3">IFERROR(SQRT(AVERAGE(_xlfn._xlws.FILTER('reference_list&amp;conversion'!W:W, 'reference_list&amp;conversion'!$A:$A=$B3)^2) + _xlfn.VAR.S(_xlfn._xlws.FILTER('reference_list&amp;conversion'!V:V, ('reference_list&amp;conversion'!$A:$A=$B3)*IF($A$3="no",1,'reference_list&amp;conversion'!$D:$D=$A$3)))),NA())</f>
        <v>#N/A</v>
      </c>
      <c r="I3" s="9">
        <v>6.3949999999999999E-4</v>
      </c>
      <c r="J3" s="9">
        <v>1.186E-3</v>
      </c>
      <c r="K3" s="9" t="s">
        <v>175</v>
      </c>
      <c r="L3" s="9"/>
      <c r="M3" s="9" t="s">
        <v>188</v>
      </c>
      <c r="N3" s="4" t="s">
        <v>179</v>
      </c>
      <c r="O3" s="9" t="s">
        <v>179</v>
      </c>
      <c r="P3" s="9" t="s">
        <v>179</v>
      </c>
      <c r="Q3" s="16" t="s">
        <v>175</v>
      </c>
      <c r="R3" s="4" t="s">
        <v>173</v>
      </c>
      <c r="S3" s="9" t="s">
        <v>179</v>
      </c>
    </row>
    <row r="4" spans="1:19" x14ac:dyDescent="0.25">
      <c r="B4" s="2" t="s">
        <v>190</v>
      </c>
      <c r="C4" s="4" t="s">
        <v>183</v>
      </c>
      <c r="D4" s="4" t="s">
        <v>194</v>
      </c>
      <c r="E4" s="4" t="s">
        <v>189</v>
      </c>
      <c r="F4" s="4" t="s">
        <v>186</v>
      </c>
      <c r="G4" s="9">
        <v>1.0000000000000001E-9</v>
      </c>
      <c r="H4" s="9" t="e">
        <f>NA()</f>
        <v>#N/A</v>
      </c>
      <c r="I4" s="9">
        <v>9.9999999999999994E-12</v>
      </c>
      <c r="J4" s="9">
        <v>9.9999999999999995E-7</v>
      </c>
      <c r="K4" s="9" t="s">
        <v>175</v>
      </c>
      <c r="L4" s="9"/>
      <c r="M4" s="9" t="s">
        <v>188</v>
      </c>
      <c r="N4" s="4" t="s">
        <v>179</v>
      </c>
      <c r="O4" s="4" t="s">
        <v>179</v>
      </c>
      <c r="P4" s="15" t="s">
        <v>175</v>
      </c>
      <c r="Q4" s="4" t="s">
        <v>179</v>
      </c>
      <c r="R4" s="4" t="s">
        <v>173</v>
      </c>
      <c r="S4" s="4" t="s">
        <v>175</v>
      </c>
    </row>
    <row r="5" spans="1:19" x14ac:dyDescent="0.25">
      <c r="B5" s="2" t="s">
        <v>190</v>
      </c>
      <c r="C5" s="4" t="s">
        <v>191</v>
      </c>
      <c r="D5" s="4" t="s">
        <v>192</v>
      </c>
      <c r="E5" s="4" t="s">
        <v>198</v>
      </c>
      <c r="F5" s="4" t="s">
        <v>185</v>
      </c>
      <c r="G5" s="9">
        <v>5.4999999999999996E-9</v>
      </c>
      <c r="H5" s="9" t="e">
        <f>NA()</f>
        <v>#N/A</v>
      </c>
      <c r="I5" s="9">
        <f>MIN(0.0000000023,0.00000000034)</f>
        <v>3.4000000000000001E-10</v>
      </c>
      <c r="J5" s="9">
        <f>MAX(0.0000012, 0.0000000057)</f>
        <v>1.1999999999999999E-6</v>
      </c>
      <c r="K5" s="9" t="s">
        <v>175</v>
      </c>
      <c r="L5" s="9"/>
      <c r="M5" s="4" t="s">
        <v>187</v>
      </c>
      <c r="N5" s="4" t="s">
        <v>179</v>
      </c>
      <c r="O5" s="4" t="s">
        <v>179</v>
      </c>
      <c r="P5" s="15" t="s">
        <v>175</v>
      </c>
      <c r="Q5" s="4" t="s">
        <v>179</v>
      </c>
      <c r="R5" s="4" t="e">
        <f>NA()</f>
        <v>#N/A</v>
      </c>
      <c r="S5" s="4" t="e">
        <f>NA()</f>
        <v>#N/A</v>
      </c>
    </row>
    <row r="6" spans="1:19" x14ac:dyDescent="0.25">
      <c r="B6" s="2" t="s">
        <v>190</v>
      </c>
      <c r="C6" s="4" t="s">
        <v>191</v>
      </c>
      <c r="D6" s="4" t="s">
        <v>192</v>
      </c>
      <c r="E6" s="4" t="s">
        <v>339</v>
      </c>
      <c r="F6" s="4" t="s">
        <v>185</v>
      </c>
      <c r="G6" s="9">
        <v>5.4999999999999996E-9</v>
      </c>
      <c r="H6" s="9" t="e">
        <f>NA()</f>
        <v>#N/A</v>
      </c>
      <c r="I6" s="9">
        <f>0.6*0.000001*10/3600</f>
        <v>1.6666666666666667E-9</v>
      </c>
      <c r="J6" s="9">
        <f>8.2*0.000001*10/3600</f>
        <v>2.2777777777777775E-8</v>
      </c>
      <c r="K6" s="9" t="s">
        <v>175</v>
      </c>
      <c r="L6" s="9"/>
      <c r="M6" s="4" t="s">
        <v>187</v>
      </c>
      <c r="N6" s="4" t="s">
        <v>179</v>
      </c>
      <c r="O6" s="4" t="s">
        <v>179</v>
      </c>
      <c r="P6" s="15" t="s">
        <v>175</v>
      </c>
      <c r="Q6" s="4" t="s">
        <v>179</v>
      </c>
      <c r="R6" s="4" t="e">
        <f>NA()</f>
        <v>#N/A</v>
      </c>
      <c r="S6" s="4" t="e">
        <f>NA()</f>
        <v>#N/A</v>
      </c>
    </row>
    <row r="7" spans="1:19" x14ac:dyDescent="0.25">
      <c r="B7" s="2" t="s">
        <v>195</v>
      </c>
      <c r="C7" s="4" t="s">
        <v>196</v>
      </c>
      <c r="D7" s="4" t="s">
        <v>197</v>
      </c>
      <c r="E7" s="4" t="s">
        <v>193</v>
      </c>
      <c r="F7" s="4" t="s">
        <v>185</v>
      </c>
      <c r="G7" s="9">
        <v>8.7999999999999998E-5</v>
      </c>
      <c r="H7" s="9" t="e">
        <f>NA()</f>
        <v>#N/A</v>
      </c>
      <c r="I7" s="9">
        <v>1.0000000000000001E-5</v>
      </c>
      <c r="J7" s="9">
        <v>4.6999999999999999E-4</v>
      </c>
      <c r="K7" s="4" t="s">
        <v>175</v>
      </c>
      <c r="L7" s="4"/>
      <c r="M7" s="4" t="s">
        <v>187</v>
      </c>
      <c r="N7" s="4" t="s">
        <v>179</v>
      </c>
      <c r="O7" s="4" t="s">
        <v>179</v>
      </c>
      <c r="P7" s="15" t="s">
        <v>175</v>
      </c>
      <c r="Q7" s="4" t="s">
        <v>179</v>
      </c>
      <c r="R7" s="4" t="e">
        <f>NA()</f>
        <v>#N/A</v>
      </c>
      <c r="S7" s="4" t="e">
        <f>NA()</f>
        <v>#N/A</v>
      </c>
    </row>
    <row r="8" spans="1:19" x14ac:dyDescent="0.25">
      <c r="B8" s="2" t="s">
        <v>239</v>
      </c>
      <c r="C8" s="4" t="s">
        <v>241</v>
      </c>
      <c r="D8" s="4" t="s">
        <v>192</v>
      </c>
      <c r="E8" s="4" t="s">
        <v>193</v>
      </c>
      <c r="F8" s="4" t="s">
        <v>185</v>
      </c>
      <c r="G8" s="9">
        <v>1E-8</v>
      </c>
      <c r="H8" s="9" t="e">
        <f>NA()</f>
        <v>#N/A</v>
      </c>
      <c r="I8" s="9">
        <v>1.0000000000000001E-5</v>
      </c>
      <c r="J8" s="9">
        <v>6.9999999999999999E-4</v>
      </c>
      <c r="K8" s="4" t="s">
        <v>175</v>
      </c>
      <c r="L8" s="4"/>
      <c r="M8" s="4" t="s">
        <v>187</v>
      </c>
      <c r="N8" s="4" t="s">
        <v>179</v>
      </c>
      <c r="O8" s="4" t="s">
        <v>179</v>
      </c>
      <c r="P8" s="15" t="s">
        <v>175</v>
      </c>
      <c r="Q8" s="4" t="s">
        <v>179</v>
      </c>
      <c r="R8" s="4" t="e">
        <f>NA()</f>
        <v>#N/A</v>
      </c>
      <c r="S8" s="4" t="e">
        <f>NA()</f>
        <v>#N/A</v>
      </c>
    </row>
    <row r="9" spans="1:19" x14ac:dyDescent="0.25">
      <c r="B9" s="2" t="s">
        <v>326</v>
      </c>
      <c r="C9" s="4" t="s">
        <v>244</v>
      </c>
      <c r="D9" s="4" t="s">
        <v>243</v>
      </c>
      <c r="E9" s="4" t="s">
        <v>250</v>
      </c>
      <c r="F9" s="4" t="e">
        <f>NA()</f>
        <v>#N/A</v>
      </c>
      <c r="G9" s="4">
        <v>0</v>
      </c>
      <c r="H9" s="9" t="e">
        <f>NA()</f>
        <v>#N/A</v>
      </c>
      <c r="I9" s="9">
        <v>-10000000</v>
      </c>
      <c r="J9" s="9">
        <v>-100</v>
      </c>
      <c r="K9" s="4" t="s">
        <v>175</v>
      </c>
      <c r="L9" s="4"/>
      <c r="M9" s="4" t="s">
        <v>187</v>
      </c>
      <c r="N9" s="4" t="s">
        <v>179</v>
      </c>
      <c r="O9" s="4" t="s">
        <v>179</v>
      </c>
      <c r="P9" s="4" t="s">
        <v>179</v>
      </c>
      <c r="Q9" s="15" t="s">
        <v>175</v>
      </c>
      <c r="R9" s="4" t="e">
        <f>NA()</f>
        <v>#N/A</v>
      </c>
      <c r="S9" s="4" t="e">
        <f>NA()</f>
        <v>#N/A</v>
      </c>
    </row>
    <row r="10" spans="1:19" x14ac:dyDescent="0.25">
      <c r="B10" s="2" t="s">
        <v>240</v>
      </c>
      <c r="C10" s="4" t="s">
        <v>242</v>
      </c>
      <c r="D10" s="4" t="s">
        <v>192</v>
      </c>
      <c r="E10" s="4" t="s">
        <v>193</v>
      </c>
      <c r="F10" s="4" t="s">
        <v>185</v>
      </c>
      <c r="G10" s="9">
        <v>1E-4</v>
      </c>
      <c r="H10" s="9" t="e">
        <f>NA()</f>
        <v>#N/A</v>
      </c>
      <c r="I10" s="9">
        <v>1.0000000000000001E-5</v>
      </c>
      <c r="J10" s="9">
        <v>6.9999999999999999E-4</v>
      </c>
      <c r="K10" s="4" t="s">
        <v>175</v>
      </c>
      <c r="L10" s="4"/>
      <c r="M10" s="4" t="s">
        <v>187</v>
      </c>
      <c r="N10" s="4" t="s">
        <v>179</v>
      </c>
      <c r="O10" s="15" t="s">
        <v>175</v>
      </c>
      <c r="P10" s="4" t="s">
        <v>179</v>
      </c>
      <c r="Q10" s="4" t="s">
        <v>179</v>
      </c>
      <c r="R10" s="4" t="e">
        <f>NA()</f>
        <v>#N/A</v>
      </c>
      <c r="S10" s="4" t="e">
        <f>NA()</f>
        <v>#N/A</v>
      </c>
    </row>
    <row r="11" spans="1:19" x14ac:dyDescent="0.25">
      <c r="B11" s="2" t="s">
        <v>248</v>
      </c>
      <c r="C11" s="4" t="s">
        <v>304</v>
      </c>
      <c r="D11" s="4" t="s">
        <v>192</v>
      </c>
      <c r="E11" s="4" t="s">
        <v>251</v>
      </c>
      <c r="F11" s="4" t="s">
        <v>185</v>
      </c>
      <c r="G11" s="4" cm="1">
        <f t="array" ref="G11">AVERAGE(_xlfn._xlws.FILTER('reference_list&amp;conversion'!V:V, ('reference_list&amp;conversion'!$A:$A=$B11)*IF($A$3="no",1,'reference_list&amp;conversion'!$D:$D=$A$3)))</f>
        <v>9.046003613776749E-10</v>
      </c>
      <c r="H11" s="4" cm="1">
        <f t="array" ref="H11">IFERROR(SQRT(AVERAGE(_xlfn._xlws.FILTER('reference_list&amp;conversion'!W:W, 'reference_list&amp;conversion'!$A:$A=$B11)^2) + _xlfn.VAR.S(_xlfn._xlws.FILTER('reference_list&amp;conversion'!V:V, ('reference_list&amp;conversion'!$A:$A=$B11)*IF($A$3="no",1,'reference_list&amp;conversion'!$D:$D=$A$3)))),NA())</f>
        <v>1.2809900539560876E-9</v>
      </c>
      <c r="I11" s="4" cm="1">
        <f t="array" ref="I11">MIN(_xlfn._xlws.FILTER('reference_list&amp;conversion'!X:X,('reference_list&amp;conversion'!$A:$A=$B11)*IF($A$3="no",1,'reference_list&amp;conversion'!$D:$D=$A$3)))</f>
        <v>8.3333333333333338E-13</v>
      </c>
      <c r="J11" s="4" cm="1">
        <f t="array" ref="J11">MAX(_xlfn._xlws.FILTER('reference_list&amp;conversion'!Y:Y,('reference_list&amp;conversion'!$A:$A=$B11)*IF($A$3="no",1,'reference_list&amp;conversion'!$D:$D=$A$3)))</f>
        <v>2.0663913021965896E-9</v>
      </c>
      <c r="K11" s="4" t="s">
        <v>175</v>
      </c>
      <c r="L11" s="4"/>
      <c r="M11" s="4" t="s">
        <v>188</v>
      </c>
      <c r="N11" s="4" t="s">
        <v>179</v>
      </c>
      <c r="O11" s="4" t="s">
        <v>179</v>
      </c>
      <c r="P11" s="15" t="s">
        <v>175</v>
      </c>
      <c r="Q11" s="4" t="s">
        <v>179</v>
      </c>
      <c r="R11" s="4" t="e">
        <f>NA()</f>
        <v>#N/A</v>
      </c>
      <c r="S11" s="4" t="e">
        <f>NA()</f>
        <v>#N/A</v>
      </c>
    </row>
    <row r="12" spans="1:19" x14ac:dyDescent="0.25">
      <c r="B12" s="2" t="s">
        <v>293</v>
      </c>
      <c r="C12" s="4" t="s">
        <v>249</v>
      </c>
      <c r="D12" s="4" t="s">
        <v>192</v>
      </c>
      <c r="E12" s="4" t="s">
        <v>294</v>
      </c>
      <c r="F12" s="4" t="s">
        <v>185</v>
      </c>
      <c r="G12" s="4" cm="1">
        <f t="array" ref="G12">AVERAGE(_xlfn._xlws.FILTER('reference_list&amp;conversion'!V:V, ('reference_list&amp;conversion'!$A:$A=$B12)*IF($A$3="no",1,'reference_list&amp;conversion'!$D:$D=$A$3)))</f>
        <v>6.9313417190775683E-9</v>
      </c>
      <c r="H12" s="4" t="e" cm="1">
        <f t="array" ref="H12">IFERROR(SQRT(AVERAGE(_xlfn._xlws.FILTER('reference_list&amp;conversion'!W:W, 'reference_list&amp;conversion'!$A:$A=$B12)^2) + _xlfn.VAR.S(_xlfn._xlws.FILTER('reference_list&amp;conversion'!V:V, ('reference_list&amp;conversion'!$A:$A=$B12)*IF($A$3="no",1,'reference_list&amp;conversion'!$D:$D=$A$3)))),NA())</f>
        <v>#N/A</v>
      </c>
      <c r="I12" s="4" cm="1">
        <f t="array" ref="I12">MIN(_xlfn._xlws.FILTER('reference_list&amp;conversion'!X:X,('reference_list&amp;conversion'!$A:$A=$B12)*IF($A$3="no",1,'reference_list&amp;conversion'!$D:$D=$A$3)))</f>
        <v>2.8432914046121594E-9</v>
      </c>
      <c r="J12" s="4" cm="1">
        <f t="array" ref="J12">MAX(_xlfn._xlws.FILTER('reference_list&amp;conversion'!Y:Y,('reference_list&amp;conversion'!$A:$A=$B12)*IF($A$3="no",1,'reference_list&amp;conversion'!$D:$D=$A$3)))</f>
        <v>1.101939203354298E-8</v>
      </c>
      <c r="K12" s="4" t="s">
        <v>179</v>
      </c>
      <c r="L12" s="4" t="s">
        <v>328</v>
      </c>
      <c r="M12" s="4" t="s">
        <v>187</v>
      </c>
      <c r="N12" s="4" t="s">
        <v>179</v>
      </c>
      <c r="O12" s="4" t="s">
        <v>179</v>
      </c>
      <c r="P12" s="15" t="s">
        <v>175</v>
      </c>
      <c r="Q12" s="4" t="s">
        <v>179</v>
      </c>
      <c r="R12" s="4" t="e">
        <f>NA()</f>
        <v>#N/A</v>
      </c>
      <c r="S12" s="4" t="e">
        <f>NA()</f>
        <v>#N/A</v>
      </c>
    </row>
    <row r="13" spans="1:19" x14ac:dyDescent="0.25">
      <c r="B13" s="2" t="s">
        <v>338</v>
      </c>
      <c r="C13" s="4" t="s">
        <v>331</v>
      </c>
      <c r="D13" s="4" t="s">
        <v>330</v>
      </c>
      <c r="E13" s="4" t="s">
        <v>250</v>
      </c>
      <c r="F13" s="4" t="e">
        <f>NA()</f>
        <v>#N/A</v>
      </c>
      <c r="G13" s="4">
        <v>0</v>
      </c>
      <c r="H13" s="4">
        <v>0</v>
      </c>
      <c r="I13" s="4">
        <v>0</v>
      </c>
      <c r="J13" s="4">
        <v>0</v>
      </c>
      <c r="K13" s="4" t="s">
        <v>175</v>
      </c>
      <c r="L13" s="4"/>
      <c r="M13" s="4" t="s">
        <v>188</v>
      </c>
      <c r="N13" s="4" t="s">
        <v>179</v>
      </c>
      <c r="O13" s="4" t="s">
        <v>179</v>
      </c>
      <c r="P13" s="15" t="s">
        <v>175</v>
      </c>
      <c r="Q13" s="4" t="s">
        <v>179</v>
      </c>
      <c r="R13" s="4" t="e">
        <f>NA()</f>
        <v>#N/A</v>
      </c>
      <c r="S13" s="4" t="e">
        <f>NA()</f>
        <v>#N/A</v>
      </c>
    </row>
    <row r="14" spans="1:19" x14ac:dyDescent="0.25">
      <c r="B14" s="2" t="s">
        <v>329</v>
      </c>
      <c r="C14" s="4" t="s">
        <v>331</v>
      </c>
      <c r="D14" s="4" t="s">
        <v>330</v>
      </c>
      <c r="E14" s="4" t="s">
        <v>250</v>
      </c>
      <c r="F14" s="4" t="e">
        <f>NA()</f>
        <v>#N/A</v>
      </c>
      <c r="G14" s="4">
        <v>0</v>
      </c>
      <c r="H14" s="4">
        <v>0</v>
      </c>
      <c r="I14" s="4">
        <v>0</v>
      </c>
      <c r="J14" s="4">
        <v>0</v>
      </c>
      <c r="K14" s="4" t="s">
        <v>175</v>
      </c>
      <c r="L14" s="4"/>
      <c r="M14" s="4" t="s">
        <v>188</v>
      </c>
      <c r="N14" s="4" t="s">
        <v>179</v>
      </c>
      <c r="O14" s="4" t="s">
        <v>179</v>
      </c>
      <c r="P14" s="15" t="s">
        <v>175</v>
      </c>
      <c r="Q14" s="4" t="s">
        <v>179</v>
      </c>
      <c r="R14" s="4" t="e">
        <f>NA()</f>
        <v>#N/A</v>
      </c>
      <c r="S14" s="4" t="e">
        <f>NA()</f>
        <v>#N/A</v>
      </c>
    </row>
    <row r="15" spans="1:19" x14ac:dyDescent="0.25">
      <c r="B15" s="2" t="s">
        <v>332</v>
      </c>
      <c r="C15" s="4" t="s">
        <v>331</v>
      </c>
      <c r="D15" s="4" t="s">
        <v>330</v>
      </c>
      <c r="E15" s="4" t="s">
        <v>250</v>
      </c>
      <c r="F15" s="4" t="e">
        <f>NA()</f>
        <v>#N/A</v>
      </c>
      <c r="G15" s="4">
        <v>0</v>
      </c>
      <c r="H15" s="4">
        <v>0</v>
      </c>
      <c r="I15" s="4">
        <v>0</v>
      </c>
      <c r="J15" s="4">
        <v>0</v>
      </c>
      <c r="K15" s="4" t="s">
        <v>175</v>
      </c>
      <c r="L15" s="4"/>
      <c r="M15" s="4" t="s">
        <v>188</v>
      </c>
      <c r="N15" s="4" t="s">
        <v>179</v>
      </c>
      <c r="O15" s="4" t="s">
        <v>179</v>
      </c>
      <c r="P15" s="15" t="s">
        <v>175</v>
      </c>
      <c r="Q15" s="4" t="s">
        <v>179</v>
      </c>
      <c r="R15" s="4" t="e">
        <f>NA()</f>
        <v>#N/A</v>
      </c>
      <c r="S15" s="4" t="e">
        <f>NA()</f>
        <v>#N/A</v>
      </c>
    </row>
    <row r="16" spans="1:19" x14ac:dyDescent="0.25">
      <c r="B16" s="2" t="s">
        <v>333</v>
      </c>
      <c r="C16" s="4" t="s">
        <v>331</v>
      </c>
      <c r="D16" s="4" t="s">
        <v>330</v>
      </c>
      <c r="E16" s="4" t="s">
        <v>250</v>
      </c>
      <c r="F16" s="4" t="e">
        <f>NA()</f>
        <v>#N/A</v>
      </c>
      <c r="G16" s="4">
        <v>0</v>
      </c>
      <c r="H16" s="4">
        <v>0</v>
      </c>
      <c r="I16" s="4">
        <v>0</v>
      </c>
      <c r="J16" s="4">
        <v>0</v>
      </c>
      <c r="K16" s="4" t="s">
        <v>175</v>
      </c>
      <c r="L16" s="4"/>
      <c r="M16" s="4" t="s">
        <v>188</v>
      </c>
      <c r="N16" s="4" t="s">
        <v>179</v>
      </c>
      <c r="O16" s="4" t="s">
        <v>179</v>
      </c>
      <c r="P16" s="15" t="s">
        <v>175</v>
      </c>
      <c r="Q16" s="4" t="s">
        <v>179</v>
      </c>
      <c r="R16" s="4" t="e">
        <f>NA()</f>
        <v>#N/A</v>
      </c>
      <c r="S16" s="4" t="e">
        <f>NA()</f>
        <v>#N/A</v>
      </c>
    </row>
    <row r="17" spans="2:19" x14ac:dyDescent="0.25">
      <c r="B17" s="2" t="s">
        <v>334</v>
      </c>
      <c r="C17" s="4" t="s">
        <v>331</v>
      </c>
      <c r="D17" s="4" t="s">
        <v>330</v>
      </c>
      <c r="E17" s="4" t="s">
        <v>250</v>
      </c>
      <c r="F17" s="4" t="e">
        <f>NA()</f>
        <v>#N/A</v>
      </c>
      <c r="G17" s="4">
        <v>0</v>
      </c>
      <c r="H17" s="4">
        <v>0</v>
      </c>
      <c r="I17" s="4">
        <v>0</v>
      </c>
      <c r="J17" s="4">
        <v>0</v>
      </c>
      <c r="K17" s="4" t="s">
        <v>175</v>
      </c>
      <c r="L17" s="4"/>
      <c r="M17" s="4" t="s">
        <v>188</v>
      </c>
      <c r="N17" s="4" t="s">
        <v>179</v>
      </c>
      <c r="O17" s="4" t="s">
        <v>179</v>
      </c>
      <c r="P17" s="15" t="s">
        <v>175</v>
      </c>
      <c r="Q17" s="4" t="s">
        <v>179</v>
      </c>
      <c r="R17" s="4" t="e">
        <f>NA()</f>
        <v>#N/A</v>
      </c>
      <c r="S17" s="4" t="e">
        <f>NA()</f>
        <v>#N/A</v>
      </c>
    </row>
    <row r="18" spans="2:19" x14ac:dyDescent="0.25">
      <c r="B18" s="2" t="s">
        <v>335</v>
      </c>
      <c r="C18" s="4" t="s">
        <v>331</v>
      </c>
      <c r="D18" s="4" t="s">
        <v>330</v>
      </c>
      <c r="E18" s="4" t="s">
        <v>250</v>
      </c>
      <c r="F18" s="4" t="e">
        <f>NA()</f>
        <v>#N/A</v>
      </c>
      <c r="G18" s="4">
        <v>0</v>
      </c>
      <c r="H18" s="4">
        <v>0</v>
      </c>
      <c r="I18" s="4">
        <v>0</v>
      </c>
      <c r="J18" s="4">
        <v>0</v>
      </c>
      <c r="K18" s="4" t="s">
        <v>175</v>
      </c>
      <c r="L18" s="4"/>
      <c r="M18" s="4" t="s">
        <v>188</v>
      </c>
      <c r="N18" s="4" t="s">
        <v>179</v>
      </c>
      <c r="O18" s="4" t="s">
        <v>179</v>
      </c>
      <c r="P18" s="15" t="s">
        <v>175</v>
      </c>
      <c r="Q18" s="4" t="s">
        <v>179</v>
      </c>
      <c r="R18" s="4" t="e">
        <f>NA()</f>
        <v>#N/A</v>
      </c>
      <c r="S18" s="4" t="e">
        <f>NA()</f>
        <v>#N/A</v>
      </c>
    </row>
    <row r="19" spans="2:19" x14ac:dyDescent="0.25">
      <c r="B19" s="2" t="s">
        <v>336</v>
      </c>
      <c r="C19" s="4" t="s">
        <v>331</v>
      </c>
      <c r="D19" s="4" t="s">
        <v>330</v>
      </c>
      <c r="E19" s="4" t="s">
        <v>250</v>
      </c>
      <c r="F19" s="4" t="e">
        <f>NA()</f>
        <v>#N/A</v>
      </c>
      <c r="G19" s="4">
        <v>0</v>
      </c>
      <c r="H19" s="4">
        <v>0</v>
      </c>
      <c r="I19" s="4">
        <v>0</v>
      </c>
      <c r="J19" s="4">
        <v>0</v>
      </c>
      <c r="K19" s="4" t="s">
        <v>175</v>
      </c>
      <c r="L19" s="4"/>
      <c r="M19" s="4" t="s">
        <v>188</v>
      </c>
      <c r="N19" s="4" t="s">
        <v>179</v>
      </c>
      <c r="O19" s="4" t="s">
        <v>179</v>
      </c>
      <c r="P19" s="15" t="s">
        <v>175</v>
      </c>
      <c r="Q19" s="4" t="s">
        <v>179</v>
      </c>
      <c r="R19" s="4" t="e">
        <f>NA()</f>
        <v>#N/A</v>
      </c>
      <c r="S19" s="4" t="e">
        <f>NA()</f>
        <v>#N/A</v>
      </c>
    </row>
    <row r="20" spans="2:19" x14ac:dyDescent="0.25">
      <c r="B20" s="2" t="s">
        <v>337</v>
      </c>
      <c r="C20" s="4" t="s">
        <v>331</v>
      </c>
      <c r="D20" s="4" t="s">
        <v>330</v>
      </c>
      <c r="E20" s="4" t="s">
        <v>250</v>
      </c>
      <c r="F20" s="4" t="e">
        <f>NA()</f>
        <v>#N/A</v>
      </c>
      <c r="G20" s="4">
        <v>0</v>
      </c>
      <c r="H20" s="4">
        <v>0</v>
      </c>
      <c r="I20" s="4">
        <v>0</v>
      </c>
      <c r="J20" s="4">
        <v>0</v>
      </c>
      <c r="K20" s="4" t="s">
        <v>175</v>
      </c>
      <c r="L20" s="4"/>
      <c r="M20" s="4" t="s">
        <v>188</v>
      </c>
      <c r="N20" s="4" t="s">
        <v>179</v>
      </c>
      <c r="O20" s="4" t="s">
        <v>179</v>
      </c>
      <c r="P20" s="15" t="s">
        <v>175</v>
      </c>
      <c r="Q20" s="4" t="s">
        <v>179</v>
      </c>
      <c r="R20" s="4" t="e">
        <f>NA()</f>
        <v>#N/A</v>
      </c>
    </row>
    <row r="31" spans="2:19" x14ac:dyDescent="0.25">
      <c r="Q31" s="10"/>
    </row>
  </sheetData>
  <conditionalFormatting sqref="K13:K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L1048576">
    <cfRule type="cellIs" dxfId="0" priority="3" operator="equal">
      <formula>"FALSE"</formula>
    </cfRule>
  </conditionalFormatting>
  <conditionalFormatting sqref="L13:L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L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09DA-5B3D-4C19-B6DA-5F98667DB196}">
  <sheetPr codeName="Feuil2"/>
  <dimension ref="A1:AC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ColWidth="10.85546875" defaultRowHeight="15" x14ac:dyDescent="0.25"/>
  <cols>
    <col min="1" max="1" width="16.7109375" customWidth="1"/>
    <col min="2" max="2" width="14.28515625" customWidth="1"/>
    <col min="3" max="3" width="22" customWidth="1"/>
    <col min="4" max="4" width="17.85546875" customWidth="1"/>
    <col min="5" max="5" width="11.85546875" customWidth="1"/>
    <col min="6" max="7" width="22" customWidth="1"/>
    <col min="8" max="8" width="14.28515625" customWidth="1"/>
    <col min="9" max="9" width="11" customWidth="1"/>
    <col min="10" max="10" width="14.42578125" customWidth="1"/>
    <col min="11" max="11" width="23.28515625" customWidth="1"/>
    <col min="12" max="15" width="19.7109375" customWidth="1"/>
    <col min="16" max="16" width="21.7109375" customWidth="1"/>
    <col min="17" max="17" width="17.140625" customWidth="1"/>
    <col min="18" max="18" width="18.42578125" customWidth="1"/>
    <col min="19" max="19" width="21.140625" customWidth="1"/>
    <col min="20" max="20" width="14.28515625" customWidth="1"/>
    <col min="22" max="25" width="16.85546875" customWidth="1"/>
    <col min="26" max="26" width="43.42578125" customWidth="1"/>
    <col min="27" max="29" width="21.140625" customWidth="1"/>
  </cols>
  <sheetData>
    <row r="1" spans="1:29" x14ac:dyDescent="0.25">
      <c r="A1" s="12" t="s">
        <v>199</v>
      </c>
      <c r="B1" s="12" t="s">
        <v>200</v>
      </c>
      <c r="C1" s="12" t="s">
        <v>210</v>
      </c>
      <c r="D1" s="12" t="s">
        <v>275</v>
      </c>
      <c r="E1" s="12" t="s">
        <v>276</v>
      </c>
      <c r="F1" s="12" t="s">
        <v>252</v>
      </c>
      <c r="G1" s="12" t="s">
        <v>289</v>
      </c>
      <c r="H1" s="12" t="s">
        <v>230</v>
      </c>
      <c r="I1" s="12" t="s">
        <v>215</v>
      </c>
      <c r="J1" s="12" t="s">
        <v>288</v>
      </c>
      <c r="K1" s="12" t="s">
        <v>283</v>
      </c>
      <c r="L1" s="12" t="s">
        <v>214</v>
      </c>
      <c r="M1" s="12" t="s">
        <v>308</v>
      </c>
      <c r="N1" s="12" t="s">
        <v>220</v>
      </c>
      <c r="O1" s="12" t="s">
        <v>223</v>
      </c>
      <c r="P1" s="12" t="s">
        <v>204</v>
      </c>
      <c r="Q1" s="12" t="s">
        <v>205</v>
      </c>
      <c r="R1" s="12" t="s">
        <v>206</v>
      </c>
      <c r="S1" s="12" t="s">
        <v>207</v>
      </c>
      <c r="T1" s="12" t="s">
        <v>201</v>
      </c>
      <c r="U1" s="12" t="s">
        <v>203</v>
      </c>
      <c r="V1" s="12" t="s">
        <v>211</v>
      </c>
      <c r="W1" s="12" t="s">
        <v>213</v>
      </c>
      <c r="X1" s="12" t="s">
        <v>225</v>
      </c>
      <c r="Y1" s="12" t="s">
        <v>212</v>
      </c>
      <c r="Z1" s="12" t="s">
        <v>202</v>
      </c>
      <c r="AA1" s="12" t="s">
        <v>208</v>
      </c>
      <c r="AB1" s="12" t="s">
        <v>228</v>
      </c>
      <c r="AC1" s="12" t="s">
        <v>209</v>
      </c>
    </row>
    <row r="2" spans="1:29" x14ac:dyDescent="0.25">
      <c r="A2" t="s">
        <v>190</v>
      </c>
      <c r="B2" t="s">
        <v>216</v>
      </c>
      <c r="C2" t="s">
        <v>218</v>
      </c>
      <c r="D2" t="s">
        <v>282</v>
      </c>
      <c r="E2" t="s">
        <v>280</v>
      </c>
      <c r="F2">
        <v>15</v>
      </c>
      <c r="G2" t="e">
        <f>NA()</f>
        <v>#N/A</v>
      </c>
      <c r="H2" t="s">
        <v>231</v>
      </c>
      <c r="I2" t="s">
        <v>232</v>
      </c>
      <c r="J2" t="s">
        <v>284</v>
      </c>
      <c r="K2" t="s">
        <v>285</v>
      </c>
      <c r="L2" t="s">
        <v>219</v>
      </c>
      <c r="M2" t="e">
        <f>NA()</f>
        <v>#N/A</v>
      </c>
      <c r="N2" t="s">
        <v>221</v>
      </c>
      <c r="O2" t="s">
        <v>224</v>
      </c>
      <c r="P2" t="e">
        <f>NA()</f>
        <v>#N/A</v>
      </c>
      <c r="Q2" t="e">
        <f>NA()</f>
        <v>#N/A</v>
      </c>
      <c r="R2">
        <v>10</v>
      </c>
      <c r="S2">
        <v>26.64</v>
      </c>
      <c r="T2" t="s">
        <v>222</v>
      </c>
      <c r="U2" t="s">
        <v>217</v>
      </c>
      <c r="V2" t="e">
        <f>NA()</f>
        <v>#N/A</v>
      </c>
      <c r="W2" t="e">
        <f>NA()</f>
        <v>#N/A</v>
      </c>
      <c r="X2">
        <f>R2*2*PI()*0.0002/1000000000</f>
        <v>1.2566370614359174E-11</v>
      </c>
      <c r="Y2">
        <f>S2*2*PI()*0.0002/1000000000</f>
        <v>3.347681131665284E-11</v>
      </c>
      <c r="Z2" t="s">
        <v>226</v>
      </c>
      <c r="AA2" t="s">
        <v>227</v>
      </c>
      <c r="AB2" t="s">
        <v>229</v>
      </c>
      <c r="AC2" t="s">
        <v>173</v>
      </c>
    </row>
    <row r="3" spans="1:29" ht="75.75" customHeight="1" x14ac:dyDescent="0.25">
      <c r="A3" t="s">
        <v>248</v>
      </c>
      <c r="B3" t="s">
        <v>251</v>
      </c>
      <c r="C3" t="s">
        <v>296</v>
      </c>
      <c r="D3" t="s">
        <v>277</v>
      </c>
      <c r="E3" t="s">
        <v>281</v>
      </c>
      <c r="F3">
        <v>35</v>
      </c>
      <c r="G3">
        <v>499</v>
      </c>
      <c r="H3" t="s">
        <v>253</v>
      </c>
      <c r="I3" t="e">
        <f>NA()</f>
        <v>#N/A</v>
      </c>
      <c r="J3" t="s">
        <v>287</v>
      </c>
      <c r="K3" t="s">
        <v>286</v>
      </c>
      <c r="L3" t="s">
        <v>254</v>
      </c>
      <c r="M3" t="s">
        <v>309</v>
      </c>
      <c r="N3" t="s">
        <v>255</v>
      </c>
      <c r="O3" t="s">
        <v>256</v>
      </c>
      <c r="P3">
        <v>7</v>
      </c>
      <c r="Q3">
        <v>0.5</v>
      </c>
      <c r="R3">
        <v>6.5</v>
      </c>
      <c r="S3">
        <v>8</v>
      </c>
      <c r="T3" t="s">
        <v>257</v>
      </c>
      <c r="U3" t="s">
        <v>258</v>
      </c>
      <c r="V3">
        <f>(P3*0.0045)/(0.0346*(EXP(0.0045*$F$3*24)-1)*$F$3*24)/1000/14</f>
        <v>1.8080923894220164E-9</v>
      </c>
      <c r="W3">
        <f t="shared" ref="W3:Y3" si="0">(Q3*0.0045)/(0.0346*(EXP(0.0045*$F$3*24)-1)*$F$3*24)/1000/14</f>
        <v>1.2914945638728685E-10</v>
      </c>
      <c r="X3">
        <f t="shared" si="0"/>
        <v>1.6789429330347292E-9</v>
      </c>
      <c r="Y3">
        <f t="shared" si="0"/>
        <v>2.0663913021965896E-9</v>
      </c>
      <c r="Z3" s="11" t="s">
        <v>303</v>
      </c>
      <c r="AA3" t="e">
        <f>NA()</f>
        <v>#N/A</v>
      </c>
      <c r="AB3" t="e">
        <f>NA()</f>
        <v>#N/A</v>
      </c>
      <c r="AC3" t="e">
        <f>NA()</f>
        <v>#N/A</v>
      </c>
    </row>
    <row r="4" spans="1:29" ht="45" x14ac:dyDescent="0.25">
      <c r="A4" t="s">
        <v>293</v>
      </c>
      <c r="B4" t="s">
        <v>294</v>
      </c>
      <c r="C4" t="s">
        <v>295</v>
      </c>
      <c r="D4" t="s">
        <v>297</v>
      </c>
      <c r="E4" t="e">
        <f>NA()</f>
        <v>#N/A</v>
      </c>
      <c r="F4">
        <v>30</v>
      </c>
      <c r="G4">
        <f>F4*(20*16+15*8)/24</f>
        <v>550</v>
      </c>
      <c r="H4" t="s">
        <v>253</v>
      </c>
      <c r="I4" t="e">
        <f>NA()</f>
        <v>#N/A</v>
      </c>
      <c r="J4" t="s">
        <v>292</v>
      </c>
      <c r="K4" t="s">
        <v>285</v>
      </c>
      <c r="L4" t="s">
        <v>298</v>
      </c>
      <c r="M4" t="s">
        <v>309</v>
      </c>
      <c r="N4" t="s">
        <v>299</v>
      </c>
      <c r="O4" t="s">
        <v>301</v>
      </c>
      <c r="P4">
        <v>5.29</v>
      </c>
      <c r="Q4">
        <v>3.12</v>
      </c>
      <c r="R4">
        <f>P4-Q4</f>
        <v>2.17</v>
      </c>
      <c r="S4">
        <f>P4+Q4</f>
        <v>8.41</v>
      </c>
      <c r="T4" t="s">
        <v>300</v>
      </c>
      <c r="U4" t="s">
        <v>258</v>
      </c>
      <c r="V4">
        <f>P4/1000000/3600/0.212</f>
        <v>6.9313417190775683E-9</v>
      </c>
      <c r="W4">
        <f t="shared" ref="W4:Y4" si="1">Q4/1000000/3600/0.212</f>
        <v>4.0880503144654089E-9</v>
      </c>
      <c r="X4">
        <f t="shared" si="1"/>
        <v>2.8432914046121594E-9</v>
      </c>
      <c r="Y4">
        <f t="shared" si="1"/>
        <v>1.101939203354298E-8</v>
      </c>
      <c r="Z4" s="11" t="s">
        <v>302</v>
      </c>
      <c r="AA4" t="e">
        <f>NA()</f>
        <v>#N/A</v>
      </c>
      <c r="AB4" t="e">
        <f>NA()</f>
        <v>#N/A</v>
      </c>
      <c r="AC4" t="e">
        <f>NA()</f>
        <v>#N/A</v>
      </c>
    </row>
    <row r="5" spans="1:29" x14ac:dyDescent="0.25">
      <c r="A5" t="s">
        <v>248</v>
      </c>
      <c r="B5" t="s">
        <v>305</v>
      </c>
      <c r="C5" t="s">
        <v>296</v>
      </c>
      <c r="D5" t="s">
        <v>282</v>
      </c>
      <c r="E5" t="s">
        <v>306</v>
      </c>
      <c r="F5">
        <v>15</v>
      </c>
      <c r="G5">
        <f>F5*(25*16+20*8)/24</f>
        <v>350</v>
      </c>
      <c r="H5" t="s">
        <v>253</v>
      </c>
      <c r="I5" t="e">
        <f>NA()</f>
        <v>#N/A</v>
      </c>
      <c r="J5" t="s">
        <v>284</v>
      </c>
      <c r="K5" t="s">
        <v>285</v>
      </c>
      <c r="L5" t="s">
        <v>307</v>
      </c>
      <c r="M5" t="s">
        <v>310</v>
      </c>
      <c r="N5" t="e">
        <f>NA()</f>
        <v>#N/A</v>
      </c>
      <c r="O5" t="s">
        <v>311</v>
      </c>
      <c r="P5">
        <v>399</v>
      </c>
      <c r="Q5">
        <v>99</v>
      </c>
      <c r="R5">
        <f>P5-Q5</f>
        <v>300</v>
      </c>
      <c r="S5">
        <f>P5+Q5</f>
        <v>498</v>
      </c>
      <c r="T5" t="s">
        <v>312</v>
      </c>
      <c r="U5" t="s">
        <v>258</v>
      </c>
      <c r="V5">
        <f>P5/0.1/3600/1000000000000</f>
        <v>1.1083333333333334E-12</v>
      </c>
      <c r="W5">
        <f t="shared" ref="W5:Y5" si="2">Q5/0.1/3600/1000000000000</f>
        <v>2.7500000000000004E-13</v>
      </c>
      <c r="X5">
        <f t="shared" si="2"/>
        <v>8.3333333333333338E-13</v>
      </c>
      <c r="Y5">
        <f t="shared" si="2"/>
        <v>1.3833333333333334E-12</v>
      </c>
      <c r="Z5" t="s">
        <v>313</v>
      </c>
      <c r="AA5" t="e">
        <f>NA()</f>
        <v>#N/A</v>
      </c>
      <c r="AB5" t="e">
        <f>NA()</f>
        <v>#N/A</v>
      </c>
      <c r="AC5" t="e">
        <f>NA()</f>
        <v>#N/A</v>
      </c>
    </row>
    <row r="6" spans="1:29" ht="45" x14ac:dyDescent="0.25">
      <c r="A6" t="s">
        <v>246</v>
      </c>
      <c r="B6" t="s">
        <v>314</v>
      </c>
      <c r="C6" t="s">
        <v>320</v>
      </c>
      <c r="D6" t="s">
        <v>315</v>
      </c>
      <c r="E6" t="s">
        <v>316</v>
      </c>
      <c r="F6">
        <v>10</v>
      </c>
      <c r="G6">
        <f>F6*21</f>
        <v>210</v>
      </c>
      <c r="H6" t="s">
        <v>253</v>
      </c>
      <c r="I6" t="e">
        <f>NA()</f>
        <v>#N/A</v>
      </c>
      <c r="J6" t="s">
        <v>284</v>
      </c>
      <c r="K6" t="s">
        <v>285</v>
      </c>
      <c r="L6" t="s">
        <v>317</v>
      </c>
      <c r="M6" t="s">
        <v>310</v>
      </c>
      <c r="N6" t="e">
        <f>NA()</f>
        <v>#N/A</v>
      </c>
      <c r="O6" t="s">
        <v>318</v>
      </c>
      <c r="P6">
        <v>2.4589985994397714</v>
      </c>
      <c r="Q6">
        <v>2.5313112720384385</v>
      </c>
      <c r="R6">
        <v>1.0964285714285702</v>
      </c>
      <c r="S6">
        <v>3.7086134453781399</v>
      </c>
      <c r="T6" t="s">
        <v>319</v>
      </c>
      <c r="U6" t="s">
        <v>171</v>
      </c>
      <c r="V6">
        <f>P6/1000000/0.1/0.15</f>
        <v>1.6393323996265142E-4</v>
      </c>
      <c r="W6">
        <f t="shared" ref="W6:Y6" si="3">Q6/1000000/0.1/0.15</f>
        <v>1.6875408480256256E-4</v>
      </c>
      <c r="X6">
        <f t="shared" si="3"/>
        <v>7.3095238095238015E-5</v>
      </c>
      <c r="Y6">
        <f t="shared" si="3"/>
        <v>2.4724089635854265E-4</v>
      </c>
      <c r="Z6" s="11" t="s">
        <v>321</v>
      </c>
      <c r="AA6" t="e">
        <f>NA()</f>
        <v>#N/A</v>
      </c>
      <c r="AB6" t="e">
        <f>NA()</f>
        <v>#N/A</v>
      </c>
      <c r="AC6" t="e">
        <f>NA()</f>
        <v>#N/A</v>
      </c>
    </row>
    <row r="7" spans="1:29" x14ac:dyDescent="0.25">
      <c r="A7" t="s">
        <v>180</v>
      </c>
      <c r="B7" t="s">
        <v>323</v>
      </c>
      <c r="C7" t="s">
        <v>324</v>
      </c>
      <c r="D7" t="s">
        <v>315</v>
      </c>
      <c r="E7" t="s">
        <v>325</v>
      </c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405-B4C3-46B7-B8B8-F3A59345C99B}">
  <sheetPr codeName="Feuil3"/>
  <dimension ref="A1:M27"/>
  <sheetViews>
    <sheetView workbookViewId="0">
      <selection activeCell="D24" sqref="D24"/>
    </sheetView>
  </sheetViews>
  <sheetFormatPr defaultColWidth="10.85546875" defaultRowHeight="15" x14ac:dyDescent="0.25"/>
  <cols>
    <col min="1" max="1" width="17.5703125" customWidth="1"/>
    <col min="3" max="3" width="35.85546875" customWidth="1"/>
    <col min="4" max="4" width="28.7109375" customWidth="1"/>
    <col min="5" max="5" width="25.7109375" customWidth="1"/>
    <col min="6" max="6" width="23.5703125" customWidth="1"/>
    <col min="13" max="13" width="12" bestFit="1" customWidth="1"/>
  </cols>
  <sheetData>
    <row r="1" spans="1:13" ht="43.5" customHeight="1" x14ac:dyDescent="0.25">
      <c r="A1" s="11" t="s">
        <v>261</v>
      </c>
      <c r="B1" s="11" t="s">
        <v>262</v>
      </c>
      <c r="C1" s="11" t="s">
        <v>263</v>
      </c>
      <c r="D1" s="11" t="s">
        <v>265</v>
      </c>
      <c r="E1" s="11" t="s">
        <v>264</v>
      </c>
      <c r="F1" s="11" t="s">
        <v>266</v>
      </c>
      <c r="G1" s="11" t="s">
        <v>267</v>
      </c>
      <c r="H1" s="11" t="s">
        <v>268</v>
      </c>
      <c r="I1" s="11" t="s">
        <v>269</v>
      </c>
      <c r="J1" s="11" t="s">
        <v>270</v>
      </c>
      <c r="K1" s="11" t="s">
        <v>272</v>
      </c>
      <c r="L1" s="11" t="s">
        <v>271</v>
      </c>
      <c r="M1" s="11" t="s">
        <v>273</v>
      </c>
    </row>
    <row r="2" spans="1:13" x14ac:dyDescent="0.25">
      <c r="A2">
        <v>1</v>
      </c>
      <c r="B2">
        <f>A2*24</f>
        <v>24</v>
      </c>
      <c r="C2">
        <v>18</v>
      </c>
      <c r="D2">
        <f>A2*$C$2</f>
        <v>18</v>
      </c>
      <c r="E2">
        <v>15</v>
      </c>
      <c r="F2">
        <f>(E2)*(A2-0)</f>
        <v>15</v>
      </c>
      <c r="G2">
        <v>3.5000000000000003E-2</v>
      </c>
      <c r="H2" t="e">
        <f>NA()</f>
        <v>#N/A</v>
      </c>
      <c r="I2">
        <f>G2/10</f>
        <v>3.5000000000000005E-3</v>
      </c>
      <c r="J2">
        <f>I2</f>
        <v>3.5000000000000005E-3</v>
      </c>
      <c r="K2">
        <v>3.3E-3</v>
      </c>
      <c r="L2">
        <v>4.4000000000000003E-3</v>
      </c>
      <c r="M2">
        <f>$K$2*EXP(F2*$L$2)</f>
        <v>3.5251481666477781E-3</v>
      </c>
    </row>
    <row r="3" spans="1:13" x14ac:dyDescent="0.25">
      <c r="A3">
        <v>3</v>
      </c>
      <c r="B3">
        <f t="shared" ref="B3:B27" si="0">A3*24</f>
        <v>72</v>
      </c>
      <c r="D3">
        <f t="shared" ref="D3:D6" si="1">A3*$C$2</f>
        <v>54</v>
      </c>
      <c r="E3">
        <v>15</v>
      </c>
      <c r="F3">
        <f>F2+((E3+E2)/2)*(A3-A2)</f>
        <v>45</v>
      </c>
      <c r="G3" t="e">
        <f>NA()</f>
        <v>#N/A</v>
      </c>
      <c r="H3" t="e">
        <f>NA()</f>
        <v>#N/A</v>
      </c>
      <c r="I3" t="e">
        <f t="shared" ref="I3:I6" si="2">G3/10</f>
        <v>#N/A</v>
      </c>
      <c r="J3" t="e">
        <f t="shared" ref="J3:J6" si="3">I3</f>
        <v>#N/A</v>
      </c>
      <c r="M3">
        <f t="shared" ref="M3:M6" si="4">$K$2*EXP(F3*$L$2)</f>
        <v>4.0225758996114214E-3</v>
      </c>
    </row>
    <row r="4" spans="1:13" x14ac:dyDescent="0.25">
      <c r="A4">
        <v>5</v>
      </c>
      <c r="B4">
        <f t="shared" si="0"/>
        <v>120</v>
      </c>
      <c r="D4">
        <f t="shared" si="1"/>
        <v>90</v>
      </c>
      <c r="E4">
        <v>15</v>
      </c>
      <c r="F4">
        <f t="shared" ref="F4:F6" si="5">F3+((E4+E3)/2)*(A4-A3)</f>
        <v>75</v>
      </c>
      <c r="G4" t="e">
        <f>NA()</f>
        <v>#N/A</v>
      </c>
      <c r="H4" t="e">
        <f>NA()</f>
        <v>#N/A</v>
      </c>
      <c r="I4" t="e">
        <f t="shared" si="2"/>
        <v>#N/A</v>
      </c>
      <c r="J4" t="e">
        <f t="shared" si="3"/>
        <v>#N/A</v>
      </c>
      <c r="M4">
        <f t="shared" si="4"/>
        <v>4.5901948239304748E-3</v>
      </c>
    </row>
    <row r="5" spans="1:13" x14ac:dyDescent="0.25">
      <c r="A5">
        <v>6</v>
      </c>
      <c r="B5">
        <f t="shared" si="0"/>
        <v>144</v>
      </c>
      <c r="D5">
        <f t="shared" si="1"/>
        <v>108</v>
      </c>
      <c r="E5">
        <v>15</v>
      </c>
      <c r="F5">
        <f t="shared" si="5"/>
        <v>90</v>
      </c>
      <c r="G5" t="e">
        <f>NA()</f>
        <v>#N/A</v>
      </c>
      <c r="H5" t="e">
        <f>NA()</f>
        <v>#N/A</v>
      </c>
      <c r="I5" t="e">
        <f t="shared" si="2"/>
        <v>#N/A</v>
      </c>
      <c r="J5" t="e">
        <f t="shared" si="3"/>
        <v>#N/A</v>
      </c>
      <c r="M5">
        <f t="shared" si="4"/>
        <v>4.9033687479195865E-3</v>
      </c>
    </row>
    <row r="6" spans="1:13" x14ac:dyDescent="0.25">
      <c r="A6">
        <v>35</v>
      </c>
      <c r="B6">
        <f t="shared" si="0"/>
        <v>840</v>
      </c>
      <c r="D6">
        <f t="shared" si="1"/>
        <v>630</v>
      </c>
      <c r="E6">
        <v>15</v>
      </c>
      <c r="F6">
        <f t="shared" si="5"/>
        <v>525</v>
      </c>
      <c r="G6">
        <v>0.32500000000000001</v>
      </c>
      <c r="H6" t="e">
        <f>NA()</f>
        <v>#N/A</v>
      </c>
      <c r="I6">
        <f t="shared" si="2"/>
        <v>3.2500000000000001E-2</v>
      </c>
      <c r="J6">
        <f t="shared" si="3"/>
        <v>3.2500000000000001E-2</v>
      </c>
      <c r="M6">
        <f t="shared" si="4"/>
        <v>3.3245601361544835E-2</v>
      </c>
    </row>
    <row r="7" spans="1:13" x14ac:dyDescent="0.25">
      <c r="B7">
        <f t="shared" si="0"/>
        <v>0</v>
      </c>
    </row>
    <row r="8" spans="1:13" x14ac:dyDescent="0.25">
      <c r="B8">
        <f t="shared" si="0"/>
        <v>0</v>
      </c>
    </row>
    <row r="9" spans="1:13" x14ac:dyDescent="0.25">
      <c r="B9">
        <f t="shared" si="0"/>
        <v>0</v>
      </c>
    </row>
    <row r="10" spans="1:13" x14ac:dyDescent="0.25">
      <c r="B10">
        <f t="shared" si="0"/>
        <v>0</v>
      </c>
    </row>
    <row r="11" spans="1:13" x14ac:dyDescent="0.25">
      <c r="B11">
        <f t="shared" si="0"/>
        <v>0</v>
      </c>
    </row>
    <row r="12" spans="1:13" x14ac:dyDescent="0.25">
      <c r="B12">
        <f t="shared" si="0"/>
        <v>0</v>
      </c>
    </row>
    <row r="13" spans="1:13" x14ac:dyDescent="0.25">
      <c r="B13">
        <f t="shared" si="0"/>
        <v>0</v>
      </c>
    </row>
    <row r="14" spans="1:13" x14ac:dyDescent="0.25">
      <c r="B14">
        <f t="shared" si="0"/>
        <v>0</v>
      </c>
    </row>
    <row r="15" spans="1:13" x14ac:dyDescent="0.25">
      <c r="B15">
        <f t="shared" si="0"/>
        <v>0</v>
      </c>
    </row>
    <row r="16" spans="1:13" x14ac:dyDescent="0.25">
      <c r="B16">
        <f t="shared" si="0"/>
        <v>0</v>
      </c>
    </row>
    <row r="17" spans="2:2" x14ac:dyDescent="0.25">
      <c r="B17">
        <f t="shared" si="0"/>
        <v>0</v>
      </c>
    </row>
    <row r="18" spans="2:2" x14ac:dyDescent="0.25">
      <c r="B18">
        <f t="shared" si="0"/>
        <v>0</v>
      </c>
    </row>
    <row r="19" spans="2:2" x14ac:dyDescent="0.25">
      <c r="B19">
        <f t="shared" si="0"/>
        <v>0</v>
      </c>
    </row>
    <row r="20" spans="2:2" x14ac:dyDescent="0.25">
      <c r="B20">
        <f t="shared" si="0"/>
        <v>0</v>
      </c>
    </row>
    <row r="21" spans="2:2" x14ac:dyDescent="0.25">
      <c r="B21">
        <f t="shared" si="0"/>
        <v>0</v>
      </c>
    </row>
    <row r="22" spans="2:2" x14ac:dyDescent="0.25">
      <c r="B22">
        <f t="shared" si="0"/>
        <v>0</v>
      </c>
    </row>
    <row r="23" spans="2:2" x14ac:dyDescent="0.25">
      <c r="B23">
        <f t="shared" si="0"/>
        <v>0</v>
      </c>
    </row>
    <row r="24" spans="2:2" x14ac:dyDescent="0.25">
      <c r="B24">
        <f t="shared" si="0"/>
        <v>0</v>
      </c>
    </row>
    <row r="25" spans="2:2" x14ac:dyDescent="0.25">
      <c r="B25">
        <f t="shared" si="0"/>
        <v>0</v>
      </c>
    </row>
    <row r="26" spans="2:2" x14ac:dyDescent="0.25">
      <c r="B26">
        <f t="shared" si="0"/>
        <v>0</v>
      </c>
    </row>
    <row r="27" spans="2:2" x14ac:dyDescent="0.25">
      <c r="B27">
        <f t="shared" si="0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3C74-7DFC-4CEB-A83D-886DEB62D87A}">
  <sheetPr codeName="Feuil4"/>
  <dimension ref="A1:F2"/>
  <sheetViews>
    <sheetView workbookViewId="0">
      <selection activeCell="E34" sqref="E34"/>
    </sheetView>
  </sheetViews>
  <sheetFormatPr defaultColWidth="10.85546875" defaultRowHeight="15" x14ac:dyDescent="0.25"/>
  <cols>
    <col min="1" max="1" width="24.28515625" customWidth="1"/>
    <col min="2" max="2" width="17.42578125" customWidth="1"/>
  </cols>
  <sheetData>
    <row r="1" spans="1:6" x14ac:dyDescent="0.25">
      <c r="A1" t="s">
        <v>274</v>
      </c>
      <c r="B1" t="s">
        <v>275</v>
      </c>
      <c r="C1" t="s">
        <v>276</v>
      </c>
      <c r="D1" s="11" t="s">
        <v>272</v>
      </c>
      <c r="E1" s="11" t="s">
        <v>271</v>
      </c>
      <c r="F1" t="s">
        <v>279</v>
      </c>
    </row>
    <row r="2" spans="1:6" x14ac:dyDescent="0.25">
      <c r="A2" t="s">
        <v>278</v>
      </c>
      <c r="B2" t="s">
        <v>277</v>
      </c>
      <c r="C2" t="e">
        <f>NA()</f>
        <v>#N/A</v>
      </c>
      <c r="D2">
        <v>2.8799999999999999E-2</v>
      </c>
      <c r="E2">
        <v>4.4000000000000003E-3</v>
      </c>
      <c r="F2">
        <v>0.95130000000000003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167</v>
      </c>
      <c r="B1" s="1" t="s">
        <v>168</v>
      </c>
      <c r="C1" s="1" t="s">
        <v>169</v>
      </c>
    </row>
    <row r="2" spans="1:3" x14ac:dyDescent="0.25">
      <c r="A2" t="s">
        <v>88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89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86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90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87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91</v>
      </c>
      <c r="B26" t="s">
        <v>24</v>
      </c>
      <c r="C26" t="str">
        <f t="shared" si="0"/>
        <v/>
      </c>
    </row>
    <row r="27" spans="1:3" x14ac:dyDescent="0.25">
      <c r="A27" t="s">
        <v>92</v>
      </c>
      <c r="B27" t="s">
        <v>25</v>
      </c>
      <c r="C27" t="str">
        <f t="shared" si="0"/>
        <v>root_growth_T_ref</v>
      </c>
    </row>
    <row r="28" spans="1:3" x14ac:dyDescent="0.25">
      <c r="A28" t="s">
        <v>93</v>
      </c>
      <c r="B28" t="s">
        <v>26</v>
      </c>
      <c r="C28" t="str">
        <f t="shared" si="0"/>
        <v>root_growth_A</v>
      </c>
    </row>
    <row r="29" spans="1:3" x14ac:dyDescent="0.25">
      <c r="A29" t="s">
        <v>94</v>
      </c>
      <c r="B29" t="s">
        <v>27</v>
      </c>
      <c r="C29" t="str">
        <f t="shared" si="0"/>
        <v>root_growth_B</v>
      </c>
    </row>
    <row r="30" spans="1:3" x14ac:dyDescent="0.25">
      <c r="A30" t="s">
        <v>95</v>
      </c>
      <c r="B30" t="s">
        <v>28</v>
      </c>
      <c r="C30" t="str">
        <f t="shared" si="0"/>
        <v>root_growth_C</v>
      </c>
    </row>
    <row r="31" spans="1:3" x14ac:dyDescent="0.25">
      <c r="A31" t="s">
        <v>96</v>
      </c>
      <c r="B31" t="s">
        <v>29</v>
      </c>
      <c r="C31" t="str">
        <f t="shared" si="0"/>
        <v/>
      </c>
    </row>
    <row r="32" spans="1:3" x14ac:dyDescent="0.25">
      <c r="A32" t="s">
        <v>97</v>
      </c>
      <c r="B32" t="s">
        <v>30</v>
      </c>
      <c r="C32" t="str">
        <f t="shared" si="0"/>
        <v/>
      </c>
    </row>
    <row r="33" spans="1:3" x14ac:dyDescent="0.25">
      <c r="A33" t="s">
        <v>98</v>
      </c>
      <c r="B33" t="s">
        <v>31</v>
      </c>
      <c r="C33" t="str">
        <f t="shared" si="0"/>
        <v/>
      </c>
    </row>
    <row r="34" spans="1:3" x14ac:dyDescent="0.25">
      <c r="A34" t="s">
        <v>99</v>
      </c>
      <c r="B34" t="s">
        <v>32</v>
      </c>
      <c r="C34" t="str">
        <f t="shared" si="0"/>
        <v/>
      </c>
    </row>
    <row r="35" spans="1:3" x14ac:dyDescent="0.25">
      <c r="A35" t="s">
        <v>100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101</v>
      </c>
      <c r="B38" t="s">
        <v>36</v>
      </c>
      <c r="C38" t="str">
        <f t="shared" si="0"/>
        <v/>
      </c>
    </row>
    <row r="39" spans="1:3" x14ac:dyDescent="0.25">
      <c r="A39" t="s">
        <v>102</v>
      </c>
      <c r="B39" t="s">
        <v>37</v>
      </c>
      <c r="C39" t="str">
        <f t="shared" si="0"/>
        <v/>
      </c>
    </row>
    <row r="40" spans="1:3" x14ac:dyDescent="0.25">
      <c r="A40" t="s">
        <v>103</v>
      </c>
      <c r="B40" t="s">
        <v>38</v>
      </c>
      <c r="C40" t="str">
        <f t="shared" si="0"/>
        <v/>
      </c>
    </row>
    <row r="41" spans="1:3" x14ac:dyDescent="0.25">
      <c r="A41" t="s">
        <v>104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105</v>
      </c>
      <c r="B43" t="s">
        <v>89</v>
      </c>
      <c r="C43" t="str">
        <f t="shared" si="0"/>
        <v>expected_C_sucrose_root</v>
      </c>
    </row>
    <row r="44" spans="1:3" x14ac:dyDescent="0.25">
      <c r="A44" t="s">
        <v>106</v>
      </c>
      <c r="B44" t="s">
        <v>41</v>
      </c>
      <c r="C44" t="str">
        <f t="shared" si="0"/>
        <v>expected_C_hexose_root</v>
      </c>
    </row>
    <row r="45" spans="1:3" x14ac:dyDescent="0.25">
      <c r="A45" t="s">
        <v>107</v>
      </c>
      <c r="B45" t="s">
        <v>86</v>
      </c>
      <c r="C45" t="str">
        <f t="shared" si="0"/>
        <v>expected_C_hexose_soil</v>
      </c>
    </row>
    <row r="46" spans="1:3" x14ac:dyDescent="0.25">
      <c r="A46" t="s">
        <v>108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109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110</v>
      </c>
      <c r="B50" t="s">
        <v>90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111</v>
      </c>
      <c r="B52" t="s">
        <v>47</v>
      </c>
      <c r="C52" t="str">
        <f t="shared" si="0"/>
        <v/>
      </c>
    </row>
    <row r="53" spans="1:3" x14ac:dyDescent="0.25">
      <c r="A53" t="s">
        <v>112</v>
      </c>
      <c r="B53" t="s">
        <v>48</v>
      </c>
      <c r="C53" t="str">
        <f t="shared" si="0"/>
        <v/>
      </c>
    </row>
    <row r="54" spans="1:3" x14ac:dyDescent="0.25">
      <c r="A54" t="s">
        <v>113</v>
      </c>
      <c r="B54" t="s">
        <v>49</v>
      </c>
      <c r="C54" t="str">
        <f t="shared" si="0"/>
        <v/>
      </c>
    </row>
    <row r="55" spans="1:3" x14ac:dyDescent="0.25">
      <c r="A55" t="s">
        <v>114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87</v>
      </c>
      <c r="C56" t="str">
        <f t="shared" si="0"/>
        <v/>
      </c>
    </row>
    <row r="57" spans="1:3" x14ac:dyDescent="0.25">
      <c r="A57" t="s">
        <v>115</v>
      </c>
      <c r="B57" t="s">
        <v>51</v>
      </c>
      <c r="C57" t="str">
        <f t="shared" si="0"/>
        <v/>
      </c>
    </row>
    <row r="58" spans="1:3" x14ac:dyDescent="0.25">
      <c r="A58" t="s">
        <v>116</v>
      </c>
      <c r="B58" t="s">
        <v>52</v>
      </c>
      <c r="C58" t="str">
        <f t="shared" si="0"/>
        <v/>
      </c>
    </row>
    <row r="59" spans="1:3" x14ac:dyDescent="0.25">
      <c r="A59" t="s">
        <v>117</v>
      </c>
      <c r="B59" t="s">
        <v>53</v>
      </c>
      <c r="C59" t="str">
        <f t="shared" si="0"/>
        <v/>
      </c>
    </row>
    <row r="60" spans="1:3" x14ac:dyDescent="0.25">
      <c r="A60" t="s">
        <v>118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96</v>
      </c>
      <c r="C62" t="str">
        <f t="shared" si="0"/>
        <v/>
      </c>
    </row>
    <row r="63" spans="1:3" x14ac:dyDescent="0.25">
      <c r="A63" t="s">
        <v>69</v>
      </c>
      <c r="B63" t="s">
        <v>97</v>
      </c>
      <c r="C63" t="str">
        <f t="shared" si="0"/>
        <v/>
      </c>
    </row>
    <row r="64" spans="1:3" x14ac:dyDescent="0.25">
      <c r="A64" t="s">
        <v>57</v>
      </c>
      <c r="B64" t="s">
        <v>98</v>
      </c>
      <c r="C64" t="str">
        <f t="shared" si="0"/>
        <v/>
      </c>
    </row>
    <row r="65" spans="1:3" x14ac:dyDescent="0.25">
      <c r="A65" t="s">
        <v>56</v>
      </c>
      <c r="B65" t="s">
        <v>99</v>
      </c>
      <c r="C65" t="str">
        <f t="shared" si="0"/>
        <v/>
      </c>
    </row>
    <row r="66" spans="1:3" x14ac:dyDescent="0.25">
      <c r="A66" t="s">
        <v>58</v>
      </c>
      <c r="B66" t="s">
        <v>100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119</v>
      </c>
      <c r="B68" t="s">
        <v>83</v>
      </c>
      <c r="C68" t="str">
        <f t="shared" si="1"/>
        <v/>
      </c>
    </row>
    <row r="69" spans="1:3" x14ac:dyDescent="0.25">
      <c r="A69" t="s">
        <v>120</v>
      </c>
      <c r="B69" t="s">
        <v>84</v>
      </c>
      <c r="C69" t="str">
        <f t="shared" si="1"/>
        <v/>
      </c>
    </row>
    <row r="70" spans="1:3" x14ac:dyDescent="0.25">
      <c r="A70" t="s">
        <v>121</v>
      </c>
      <c r="B70" t="s">
        <v>85</v>
      </c>
      <c r="C70" t="str">
        <f t="shared" si="1"/>
        <v/>
      </c>
    </row>
    <row r="71" spans="1:3" x14ac:dyDescent="0.25">
      <c r="A71" t="s">
        <v>122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91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123</v>
      </c>
      <c r="B74" t="s">
        <v>61</v>
      </c>
      <c r="C74" t="str">
        <f t="shared" si="1"/>
        <v/>
      </c>
    </row>
    <row r="75" spans="1:3" x14ac:dyDescent="0.25">
      <c r="A75" t="s">
        <v>124</v>
      </c>
      <c r="B75" t="s">
        <v>62</v>
      </c>
      <c r="C75" t="str">
        <f t="shared" si="1"/>
        <v/>
      </c>
    </row>
    <row r="76" spans="1:3" x14ac:dyDescent="0.25">
      <c r="A76" t="s">
        <v>125</v>
      </c>
      <c r="B76" t="s">
        <v>63</v>
      </c>
      <c r="C76" t="str">
        <f t="shared" si="1"/>
        <v/>
      </c>
    </row>
    <row r="77" spans="1:3" x14ac:dyDescent="0.25">
      <c r="A77" t="s">
        <v>126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127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111</v>
      </c>
      <c r="C80" t="str">
        <f t="shared" si="1"/>
        <v/>
      </c>
    </row>
    <row r="81" spans="1:3" x14ac:dyDescent="0.25">
      <c r="A81" t="s">
        <v>128</v>
      </c>
      <c r="B81" t="s">
        <v>112</v>
      </c>
      <c r="C81" t="str">
        <f t="shared" si="1"/>
        <v/>
      </c>
    </row>
    <row r="82" spans="1:3" x14ac:dyDescent="0.25">
      <c r="A82" t="s">
        <v>129</v>
      </c>
      <c r="B82" t="s">
        <v>113</v>
      </c>
      <c r="C82" t="str">
        <f t="shared" si="1"/>
        <v/>
      </c>
    </row>
    <row r="83" spans="1:3" x14ac:dyDescent="0.25">
      <c r="A83" t="s">
        <v>130</v>
      </c>
      <c r="B83" t="s">
        <v>114</v>
      </c>
      <c r="C83" t="str">
        <f t="shared" si="1"/>
        <v/>
      </c>
    </row>
    <row r="84" spans="1:3" x14ac:dyDescent="0.25">
      <c r="A84" t="s">
        <v>131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115</v>
      </c>
      <c r="C86" t="str">
        <f t="shared" si="1"/>
        <v/>
      </c>
    </row>
    <row r="87" spans="1:3" x14ac:dyDescent="0.25">
      <c r="A87" t="s">
        <v>132</v>
      </c>
      <c r="B87" t="s">
        <v>116</v>
      </c>
      <c r="C87" t="str">
        <f t="shared" si="1"/>
        <v/>
      </c>
    </row>
    <row r="88" spans="1:3" x14ac:dyDescent="0.25">
      <c r="A88" t="s">
        <v>133</v>
      </c>
      <c r="B88" t="s">
        <v>117</v>
      </c>
      <c r="C88" t="str">
        <f t="shared" si="1"/>
        <v/>
      </c>
    </row>
    <row r="89" spans="1:3" x14ac:dyDescent="0.25">
      <c r="A89" t="s">
        <v>134</v>
      </c>
      <c r="B89" t="s">
        <v>118</v>
      </c>
      <c r="C89" t="str">
        <f t="shared" si="1"/>
        <v/>
      </c>
    </row>
    <row r="90" spans="1:3" x14ac:dyDescent="0.25">
      <c r="A90" t="s">
        <v>135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136</v>
      </c>
      <c r="B92" t="s">
        <v>56</v>
      </c>
      <c r="C92" t="str">
        <f t="shared" si="1"/>
        <v/>
      </c>
    </row>
    <row r="93" spans="1:3" x14ac:dyDescent="0.25">
      <c r="A93" t="s">
        <v>137</v>
      </c>
      <c r="B93" t="s">
        <v>57</v>
      </c>
      <c r="C93" t="str">
        <f t="shared" si="1"/>
        <v/>
      </c>
    </row>
    <row r="94" spans="1:3" x14ac:dyDescent="0.25">
      <c r="A94" t="s">
        <v>138</v>
      </c>
      <c r="B94" t="s">
        <v>58</v>
      </c>
      <c r="C94" t="str">
        <f t="shared" si="1"/>
        <v/>
      </c>
    </row>
    <row r="95" spans="1:3" x14ac:dyDescent="0.25">
      <c r="A95" t="s">
        <v>139</v>
      </c>
      <c r="B95" t="s">
        <v>71</v>
      </c>
      <c r="C95" t="str">
        <f t="shared" si="1"/>
        <v/>
      </c>
    </row>
    <row r="96" spans="1:3" x14ac:dyDescent="0.25">
      <c r="A96" t="s">
        <v>140</v>
      </c>
      <c r="B96" t="s">
        <v>119</v>
      </c>
      <c r="C96" t="str">
        <f t="shared" si="1"/>
        <v/>
      </c>
    </row>
    <row r="97" spans="1:3" x14ac:dyDescent="0.25">
      <c r="A97" t="s">
        <v>141</v>
      </c>
      <c r="B97" t="s">
        <v>120</v>
      </c>
      <c r="C97" t="str">
        <f t="shared" si="1"/>
        <v/>
      </c>
    </row>
    <row r="98" spans="1:3" x14ac:dyDescent="0.25">
      <c r="A98" t="s">
        <v>142</v>
      </c>
      <c r="B98" t="s">
        <v>121</v>
      </c>
      <c r="C98" t="str">
        <f t="shared" si="1"/>
        <v/>
      </c>
    </row>
    <row r="99" spans="1:3" x14ac:dyDescent="0.25">
      <c r="A99" t="s">
        <v>143</v>
      </c>
      <c r="B99" t="s">
        <v>122</v>
      </c>
      <c r="C99" t="str">
        <f t="shared" si="1"/>
        <v/>
      </c>
    </row>
    <row r="100" spans="1:3" x14ac:dyDescent="0.25">
      <c r="A100" t="s">
        <v>144</v>
      </c>
      <c r="B100" t="s">
        <v>72</v>
      </c>
      <c r="C100" t="str">
        <f t="shared" si="1"/>
        <v/>
      </c>
    </row>
    <row r="101" spans="1:3" x14ac:dyDescent="0.25">
      <c r="A101" t="s">
        <v>145</v>
      </c>
      <c r="B101" t="s">
        <v>73</v>
      </c>
      <c r="C101" t="str">
        <f t="shared" si="1"/>
        <v/>
      </c>
    </row>
    <row r="102" spans="1:3" x14ac:dyDescent="0.25">
      <c r="A102" t="s">
        <v>146</v>
      </c>
      <c r="B102" t="s">
        <v>123</v>
      </c>
      <c r="C102" t="str">
        <f t="shared" si="1"/>
        <v/>
      </c>
    </row>
    <row r="103" spans="1:3" x14ac:dyDescent="0.25">
      <c r="A103" t="s">
        <v>147</v>
      </c>
      <c r="B103" t="s">
        <v>124</v>
      </c>
      <c r="C103" t="str">
        <f t="shared" si="1"/>
        <v/>
      </c>
    </row>
    <row r="104" spans="1:3" x14ac:dyDescent="0.25">
      <c r="A104" t="s">
        <v>148</v>
      </c>
      <c r="B104" t="s">
        <v>125</v>
      </c>
      <c r="C104" t="str">
        <f t="shared" si="1"/>
        <v/>
      </c>
    </row>
    <row r="105" spans="1:3" x14ac:dyDescent="0.25">
      <c r="A105" t="s">
        <v>149</v>
      </c>
      <c r="B105" t="s">
        <v>126</v>
      </c>
      <c r="C105" t="str">
        <f t="shared" si="1"/>
        <v/>
      </c>
    </row>
    <row r="106" spans="1:3" x14ac:dyDescent="0.25">
      <c r="A106" t="s">
        <v>150</v>
      </c>
      <c r="B106" t="s">
        <v>74</v>
      </c>
      <c r="C106" t="str">
        <f t="shared" si="1"/>
        <v/>
      </c>
    </row>
    <row r="107" spans="1:3" x14ac:dyDescent="0.25">
      <c r="A107" t="s">
        <v>151</v>
      </c>
      <c r="B107" t="s">
        <v>75</v>
      </c>
      <c r="C107" t="str">
        <f t="shared" si="1"/>
        <v/>
      </c>
    </row>
    <row r="108" spans="1:3" x14ac:dyDescent="0.25">
      <c r="A108" t="s">
        <v>152</v>
      </c>
      <c r="B108" t="s">
        <v>101</v>
      </c>
      <c r="C108" t="str">
        <f t="shared" si="1"/>
        <v/>
      </c>
    </row>
    <row r="109" spans="1:3" x14ac:dyDescent="0.25">
      <c r="A109" t="s">
        <v>153</v>
      </c>
      <c r="B109" t="s">
        <v>102</v>
      </c>
      <c r="C109" t="str">
        <f t="shared" si="1"/>
        <v/>
      </c>
    </row>
    <row r="110" spans="1:3" x14ac:dyDescent="0.25">
      <c r="A110" t="s">
        <v>154</v>
      </c>
      <c r="B110" t="s">
        <v>103</v>
      </c>
      <c r="C110" t="str">
        <f t="shared" si="1"/>
        <v/>
      </c>
    </row>
    <row r="111" spans="1:3" x14ac:dyDescent="0.25">
      <c r="A111" t="s">
        <v>155</v>
      </c>
      <c r="B111" t="s">
        <v>104</v>
      </c>
      <c r="C111" t="str">
        <f t="shared" si="1"/>
        <v/>
      </c>
    </row>
    <row r="112" spans="1:3" x14ac:dyDescent="0.25">
      <c r="A112" t="s">
        <v>156</v>
      </c>
      <c r="B112" t="s">
        <v>76</v>
      </c>
      <c r="C112" t="str">
        <f t="shared" si="1"/>
        <v/>
      </c>
    </row>
    <row r="113" spans="1:3" x14ac:dyDescent="0.25">
      <c r="A113" t="s">
        <v>157</v>
      </c>
      <c r="B113" t="s">
        <v>77</v>
      </c>
      <c r="C113" t="str">
        <f t="shared" si="1"/>
        <v/>
      </c>
    </row>
    <row r="114" spans="1:3" x14ac:dyDescent="0.25">
      <c r="A114" t="s">
        <v>158</v>
      </c>
      <c r="B114" t="s">
        <v>78</v>
      </c>
      <c r="C114" t="str">
        <f t="shared" si="1"/>
        <v/>
      </c>
    </row>
    <row r="115" spans="1:3" x14ac:dyDescent="0.25">
      <c r="A115" t="s">
        <v>159</v>
      </c>
      <c r="B115" t="s">
        <v>128</v>
      </c>
      <c r="C115" t="str">
        <f t="shared" si="1"/>
        <v/>
      </c>
    </row>
    <row r="116" spans="1:3" x14ac:dyDescent="0.25">
      <c r="A116" t="s">
        <v>160</v>
      </c>
      <c r="B116" t="s">
        <v>129</v>
      </c>
      <c r="C116" t="str">
        <f t="shared" si="1"/>
        <v/>
      </c>
    </row>
    <row r="117" spans="1:3" x14ac:dyDescent="0.25">
      <c r="A117" t="s">
        <v>161</v>
      </c>
      <c r="B117" t="s">
        <v>130</v>
      </c>
      <c r="C117" t="str">
        <f t="shared" si="1"/>
        <v/>
      </c>
    </row>
    <row r="118" spans="1:3" x14ac:dyDescent="0.25">
      <c r="A118" t="s">
        <v>162</v>
      </c>
      <c r="B118" t="s">
        <v>131</v>
      </c>
      <c r="C118" t="str">
        <f t="shared" si="1"/>
        <v/>
      </c>
    </row>
    <row r="119" spans="1:3" x14ac:dyDescent="0.25">
      <c r="A119" t="s">
        <v>163</v>
      </c>
      <c r="B119" t="s">
        <v>79</v>
      </c>
      <c r="C119" t="str">
        <f t="shared" si="1"/>
        <v/>
      </c>
    </row>
    <row r="120" spans="1:3" x14ac:dyDescent="0.25">
      <c r="A120" t="s">
        <v>164</v>
      </c>
      <c r="B120" t="s">
        <v>80</v>
      </c>
      <c r="C120" t="str">
        <f t="shared" si="1"/>
        <v/>
      </c>
    </row>
    <row r="121" spans="1:3" x14ac:dyDescent="0.25">
      <c r="A121" t="s">
        <v>165</v>
      </c>
      <c r="B121" t="s">
        <v>132</v>
      </c>
      <c r="C121" t="str">
        <f t="shared" si="1"/>
        <v/>
      </c>
    </row>
    <row r="122" spans="1:3" x14ac:dyDescent="0.25">
      <c r="A122" t="s">
        <v>166</v>
      </c>
      <c r="B122" t="s">
        <v>133</v>
      </c>
      <c r="C122" t="str">
        <f t="shared" si="1"/>
        <v/>
      </c>
    </row>
    <row r="123" spans="1:3" x14ac:dyDescent="0.25">
      <c r="A123" t="s">
        <v>59</v>
      </c>
      <c r="B123" t="s">
        <v>134</v>
      </c>
      <c r="C123" t="str">
        <f t="shared" si="1"/>
        <v/>
      </c>
    </row>
    <row r="124" spans="1:3" x14ac:dyDescent="0.25">
      <c r="A124" t="s">
        <v>62</v>
      </c>
      <c r="B124" t="s">
        <v>135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136</v>
      </c>
      <c r="C126" t="str">
        <f t="shared" si="1"/>
        <v/>
      </c>
    </row>
    <row r="127" spans="1:3" x14ac:dyDescent="0.25">
      <c r="A127" t="s">
        <v>82</v>
      </c>
      <c r="B127" t="s">
        <v>137</v>
      </c>
      <c r="C127" t="str">
        <f t="shared" si="1"/>
        <v/>
      </c>
    </row>
    <row r="128" spans="1:3" x14ac:dyDescent="0.25">
      <c r="A128" t="s">
        <v>83</v>
      </c>
      <c r="B128" t="s">
        <v>138</v>
      </c>
      <c r="C128" t="str">
        <f t="shared" si="1"/>
        <v/>
      </c>
    </row>
    <row r="129" spans="1:3" x14ac:dyDescent="0.25">
      <c r="A129" t="s">
        <v>85</v>
      </c>
      <c r="B129" t="s">
        <v>139</v>
      </c>
      <c r="C129" t="str">
        <f t="shared" si="1"/>
        <v/>
      </c>
    </row>
    <row r="130" spans="1:3" x14ac:dyDescent="0.25">
      <c r="A130" t="s">
        <v>84</v>
      </c>
      <c r="B130" t="s">
        <v>140</v>
      </c>
      <c r="C130" t="str">
        <f t="shared" si="1"/>
        <v/>
      </c>
    </row>
    <row r="131" spans="1:3" x14ac:dyDescent="0.25">
      <c r="A131" t="s">
        <v>2</v>
      </c>
      <c r="B131" t="s">
        <v>141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142</v>
      </c>
      <c r="C132" t="str">
        <f t="shared" si="2"/>
        <v/>
      </c>
    </row>
    <row r="133" spans="1:3" x14ac:dyDescent="0.25">
      <c r="A133" t="s">
        <v>5</v>
      </c>
      <c r="B133" t="s">
        <v>143</v>
      </c>
      <c r="C133" t="str">
        <f t="shared" si="2"/>
        <v/>
      </c>
    </row>
    <row r="134" spans="1:3" x14ac:dyDescent="0.25">
      <c r="A134" t="s">
        <v>20</v>
      </c>
      <c r="B134" t="s">
        <v>144</v>
      </c>
      <c r="C134" t="str">
        <f t="shared" si="2"/>
        <v/>
      </c>
    </row>
    <row r="135" spans="1:3" x14ac:dyDescent="0.25">
      <c r="A135" t="s">
        <v>0</v>
      </c>
      <c r="B135" t="s">
        <v>145</v>
      </c>
      <c r="C135" t="str">
        <f t="shared" si="2"/>
        <v/>
      </c>
    </row>
    <row r="136" spans="1:3" x14ac:dyDescent="0.25">
      <c r="A136" t="s">
        <v>1</v>
      </c>
      <c r="B136" t="s">
        <v>146</v>
      </c>
      <c r="C136" t="str">
        <f t="shared" si="2"/>
        <v/>
      </c>
    </row>
    <row r="137" spans="1:3" x14ac:dyDescent="0.25">
      <c r="A137" t="s">
        <v>6</v>
      </c>
      <c r="B137" t="s">
        <v>147</v>
      </c>
      <c r="C137" t="str">
        <f t="shared" si="2"/>
        <v/>
      </c>
    </row>
    <row r="138" spans="1:3" x14ac:dyDescent="0.25">
      <c r="A138" t="s">
        <v>7</v>
      </c>
      <c r="B138" t="s">
        <v>148</v>
      </c>
      <c r="C138" t="str">
        <f t="shared" si="2"/>
        <v/>
      </c>
    </row>
    <row r="139" spans="1:3" x14ac:dyDescent="0.25">
      <c r="A139" t="s">
        <v>8</v>
      </c>
      <c r="B139" t="s">
        <v>149</v>
      </c>
      <c r="C139" t="str">
        <f t="shared" si="2"/>
        <v/>
      </c>
    </row>
    <row r="140" spans="1:3" x14ac:dyDescent="0.25">
      <c r="A140" t="s">
        <v>9</v>
      </c>
      <c r="B140" t="s">
        <v>150</v>
      </c>
      <c r="C140" t="str">
        <f t="shared" si="2"/>
        <v/>
      </c>
    </row>
    <row r="141" spans="1:3" x14ac:dyDescent="0.25">
      <c r="A141" t="s">
        <v>10</v>
      </c>
      <c r="B141" t="s">
        <v>151</v>
      </c>
      <c r="C141" t="str">
        <f t="shared" si="2"/>
        <v/>
      </c>
    </row>
    <row r="142" spans="1:3" x14ac:dyDescent="0.25">
      <c r="A142" t="s">
        <v>11</v>
      </c>
      <c r="B142" t="s">
        <v>152</v>
      </c>
      <c r="C142" t="str">
        <f t="shared" si="2"/>
        <v/>
      </c>
    </row>
    <row r="143" spans="1:3" x14ac:dyDescent="0.25">
      <c r="A143" t="s">
        <v>12</v>
      </c>
      <c r="B143" t="s">
        <v>153</v>
      </c>
      <c r="C143" t="str">
        <f t="shared" si="2"/>
        <v/>
      </c>
    </row>
    <row r="144" spans="1:3" x14ac:dyDescent="0.25">
      <c r="A144" t="s">
        <v>13</v>
      </c>
      <c r="B144" t="s">
        <v>154</v>
      </c>
      <c r="C144" t="str">
        <f t="shared" si="2"/>
        <v/>
      </c>
    </row>
    <row r="145" spans="1:3" x14ac:dyDescent="0.25">
      <c r="A145" t="s">
        <v>14</v>
      </c>
      <c r="B145" t="s">
        <v>155</v>
      </c>
      <c r="C145" t="str">
        <f t="shared" si="2"/>
        <v/>
      </c>
    </row>
    <row r="146" spans="1:3" x14ac:dyDescent="0.25">
      <c r="A146" t="s">
        <v>15</v>
      </c>
      <c r="B146" t="s">
        <v>156</v>
      </c>
      <c r="C146" t="str">
        <f t="shared" si="2"/>
        <v/>
      </c>
    </row>
    <row r="147" spans="1:3" x14ac:dyDescent="0.25">
      <c r="A147" t="s">
        <v>16</v>
      </c>
      <c r="B147" t="s">
        <v>157</v>
      </c>
      <c r="C147" t="str">
        <f t="shared" si="2"/>
        <v/>
      </c>
    </row>
    <row r="148" spans="1:3" x14ac:dyDescent="0.25">
      <c r="A148" t="s">
        <v>17</v>
      </c>
      <c r="B148" t="s">
        <v>158</v>
      </c>
      <c r="C148" t="str">
        <f t="shared" si="2"/>
        <v/>
      </c>
    </row>
    <row r="149" spans="1:3" x14ac:dyDescent="0.25">
      <c r="A149" t="s">
        <v>18</v>
      </c>
      <c r="B149" t="s">
        <v>159</v>
      </c>
      <c r="C149" t="str">
        <f t="shared" si="2"/>
        <v/>
      </c>
    </row>
    <row r="150" spans="1:3" x14ac:dyDescent="0.25">
      <c r="A150" t="s">
        <v>19</v>
      </c>
      <c r="B150" t="s">
        <v>160</v>
      </c>
      <c r="C150" t="str">
        <f t="shared" si="2"/>
        <v/>
      </c>
    </row>
    <row r="151" spans="1:3" x14ac:dyDescent="0.25">
      <c r="A151" t="s">
        <v>21</v>
      </c>
      <c r="B151" t="s">
        <v>161</v>
      </c>
      <c r="C151" t="str">
        <f t="shared" si="2"/>
        <v/>
      </c>
    </row>
    <row r="152" spans="1:3" x14ac:dyDescent="0.25">
      <c r="A152" t="s">
        <v>22</v>
      </c>
      <c r="B152" t="s">
        <v>162</v>
      </c>
      <c r="C152" t="str">
        <f t="shared" si="2"/>
        <v/>
      </c>
    </row>
    <row r="153" spans="1:3" x14ac:dyDescent="0.25">
      <c r="A153" t="s">
        <v>23</v>
      </c>
      <c r="B153" t="s">
        <v>163</v>
      </c>
      <c r="C153" t="str">
        <f t="shared" si="2"/>
        <v/>
      </c>
    </row>
    <row r="154" spans="1:3" x14ac:dyDescent="0.25">
      <c r="A154" t="s">
        <v>24</v>
      </c>
      <c r="B154" t="s">
        <v>164</v>
      </c>
      <c r="C154" t="str">
        <f t="shared" si="2"/>
        <v/>
      </c>
    </row>
    <row r="155" spans="1:3" x14ac:dyDescent="0.25">
      <c r="A155" t="s">
        <v>25</v>
      </c>
      <c r="B155" t="s">
        <v>165</v>
      </c>
      <c r="C155" t="str">
        <f t="shared" si="2"/>
        <v/>
      </c>
    </row>
    <row r="156" spans="1:3" x14ac:dyDescent="0.25">
      <c r="A156" t="s">
        <v>26</v>
      </c>
      <c r="B156" t="s">
        <v>166</v>
      </c>
      <c r="C156" t="str">
        <f t="shared" si="2"/>
        <v/>
      </c>
    </row>
    <row r="157" spans="1:3" x14ac:dyDescent="0.25">
      <c r="A157" t="s">
        <v>27</v>
      </c>
      <c r="B157" t="s">
        <v>170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170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scenarios_as_columns</vt:lpstr>
      <vt:lpstr>reference_list&amp;conversion</vt:lpstr>
      <vt:lpstr>alignment_estimator</vt:lpstr>
      <vt:lpstr>exp_growth_parameters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2025-03-30T15:43:50Z</dcterms:modified>
</cp:coreProperties>
</file>