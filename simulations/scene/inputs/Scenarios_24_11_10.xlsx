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TIGERA~1\AppData\Local\Temp\scp57905\home\torisuten\package\Wheat-BRIDGES\Root_BRIDGES\simulations\scene\inputs\"/>
    </mc:Choice>
  </mc:AlternateContent>
  <xr:revisionPtr revIDLastSave="0" documentId="13_ncr:1_{BC9AB57D-F166-475B-A710-D6AA6AAD34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2" i="2" l="1"/>
  <c r="N221" i="2"/>
  <c r="N224" i="2"/>
  <c r="M222" i="2"/>
  <c r="M221" i="2"/>
  <c r="M224" i="2"/>
  <c r="N234" i="2"/>
  <c r="N233" i="2"/>
  <c r="N231" i="2"/>
  <c r="N228" i="2"/>
  <c r="N227" i="2"/>
  <c r="N226" i="2"/>
  <c r="N225" i="2"/>
  <c r="N220" i="2"/>
  <c r="N218" i="2"/>
  <c r="N214" i="2"/>
  <c r="N212" i="2"/>
  <c r="N140" i="2"/>
  <c r="N134" i="2"/>
  <c r="N132" i="2"/>
  <c r="N131" i="2"/>
  <c r="N122" i="2"/>
  <c r="N121" i="2"/>
  <c r="N119" i="2"/>
  <c r="N118" i="2"/>
  <c r="N116" i="2"/>
  <c r="N115" i="2"/>
  <c r="N109" i="2"/>
  <c r="N108" i="2"/>
  <c r="N107" i="2"/>
  <c r="N106" i="2"/>
  <c r="N74" i="2"/>
  <c r="O227" i="2"/>
  <c r="O221" i="2"/>
  <c r="O220" i="2"/>
  <c r="M227" i="2"/>
  <c r="M233" i="2"/>
  <c r="O233" i="2"/>
  <c r="P227" i="2"/>
  <c r="M234" i="2"/>
  <c r="O234" i="2"/>
  <c r="M220" i="2"/>
  <c r="O134" i="2"/>
  <c r="O231" i="2"/>
  <c r="O228" i="2"/>
  <c r="O226" i="2"/>
  <c r="O225" i="2"/>
  <c r="O224" i="2"/>
  <c r="O223" i="2"/>
  <c r="O218" i="2"/>
  <c r="O214" i="2"/>
  <c r="O212" i="2"/>
  <c r="O140" i="2"/>
  <c r="O132" i="2"/>
  <c r="O131" i="2"/>
  <c r="O122" i="2"/>
  <c r="O121" i="2"/>
  <c r="O119" i="2"/>
  <c r="O118" i="2"/>
  <c r="O116" i="2"/>
  <c r="O115" i="2"/>
  <c r="O109" i="2"/>
  <c r="O108" i="2"/>
  <c r="O107" i="2"/>
  <c r="O106" i="2"/>
  <c r="O74" i="2"/>
  <c r="M134" i="2" l="1"/>
  <c r="Y234" i="2"/>
  <c r="Y233" i="2"/>
  <c r="Y231" i="2"/>
  <c r="Y228" i="2"/>
  <c r="Y227" i="2"/>
  <c r="Y226" i="2"/>
  <c r="Y225" i="2"/>
  <c r="Y224" i="2"/>
  <c r="Y223" i="2"/>
  <c r="Y222" i="2"/>
  <c r="Y221" i="2"/>
  <c r="Y220" i="2"/>
  <c r="Y218" i="2"/>
  <c r="Y214" i="2"/>
  <c r="Y212" i="2"/>
  <c r="Y140" i="2"/>
  <c r="Y134" i="2"/>
  <c r="Y132" i="2"/>
  <c r="Y131" i="2"/>
  <c r="Y122" i="2"/>
  <c r="Y121" i="2"/>
  <c r="Y119" i="2"/>
  <c r="Y118" i="2"/>
  <c r="Y116" i="2"/>
  <c r="Y115" i="2"/>
  <c r="Y109" i="2"/>
  <c r="Y108" i="2"/>
  <c r="Y107" i="2"/>
  <c r="Y106" i="2"/>
  <c r="Y74" i="2"/>
  <c r="P234" i="2"/>
  <c r="P233" i="2"/>
  <c r="P231" i="2"/>
  <c r="P228" i="2"/>
  <c r="P226" i="2"/>
  <c r="P225" i="2"/>
  <c r="P224" i="2"/>
  <c r="P223" i="2"/>
  <c r="P222" i="2"/>
  <c r="P221" i="2"/>
  <c r="P220" i="2"/>
  <c r="P218" i="2"/>
  <c r="P214" i="2"/>
  <c r="P212" i="2"/>
  <c r="P140" i="2"/>
  <c r="P134" i="2"/>
  <c r="P132" i="2"/>
  <c r="P131" i="2"/>
  <c r="P122" i="2"/>
  <c r="P121" i="2"/>
  <c r="P119" i="2"/>
  <c r="P118" i="2"/>
  <c r="P116" i="2"/>
  <c r="P115" i="2"/>
  <c r="P109" i="2"/>
  <c r="P108" i="2"/>
  <c r="P107" i="2"/>
  <c r="P106" i="2"/>
  <c r="P74" i="2"/>
  <c r="U212" i="2"/>
  <c r="U234" i="2"/>
  <c r="U233" i="2"/>
  <c r="U231" i="2"/>
  <c r="U228" i="2"/>
  <c r="U227" i="2"/>
  <c r="U226" i="2"/>
  <c r="U225" i="2"/>
  <c r="U224" i="2"/>
  <c r="U223" i="2"/>
  <c r="U222" i="2"/>
  <c r="U221" i="2"/>
  <c r="U220" i="2"/>
  <c r="U218" i="2"/>
  <c r="U214" i="2"/>
  <c r="U140" i="2"/>
  <c r="U134" i="2"/>
  <c r="U132" i="2"/>
  <c r="U131" i="2"/>
  <c r="U122" i="2"/>
  <c r="U121" i="2"/>
  <c r="U119" i="2"/>
  <c r="U118" i="2"/>
  <c r="U116" i="2"/>
  <c r="U115" i="2"/>
  <c r="U109" i="2"/>
  <c r="U108" i="2"/>
  <c r="U107" i="2"/>
  <c r="U106" i="2"/>
  <c r="U74" i="2"/>
  <c r="T212" i="2"/>
  <c r="T234" i="2"/>
  <c r="T233" i="2"/>
  <c r="T231" i="2"/>
  <c r="T228" i="2"/>
  <c r="T227" i="2"/>
  <c r="T226" i="2"/>
  <c r="T225" i="2"/>
  <c r="T224" i="2"/>
  <c r="T223" i="2"/>
  <c r="T222" i="2"/>
  <c r="T221" i="2"/>
  <c r="T220" i="2"/>
  <c r="T218" i="2"/>
  <c r="T214" i="2"/>
  <c r="T140" i="2"/>
  <c r="T134" i="2"/>
  <c r="T132" i="2"/>
  <c r="T131" i="2"/>
  <c r="T122" i="2"/>
  <c r="T121" i="2"/>
  <c r="T119" i="2"/>
  <c r="T118" i="2"/>
  <c r="T116" i="2"/>
  <c r="T115" i="2"/>
  <c r="T109" i="2"/>
  <c r="T108" i="2"/>
  <c r="T107" i="2"/>
  <c r="T106" i="2"/>
  <c r="T74" i="2"/>
  <c r="S212" i="2"/>
  <c r="R212" i="2"/>
  <c r="R234" i="2"/>
  <c r="R233" i="2"/>
  <c r="R231" i="2"/>
  <c r="R228" i="2"/>
  <c r="R227" i="2"/>
  <c r="R226" i="2"/>
  <c r="R225" i="2"/>
  <c r="R224" i="2"/>
  <c r="R223" i="2"/>
  <c r="R222" i="2"/>
  <c r="R221" i="2"/>
  <c r="R220" i="2"/>
  <c r="R218" i="2"/>
  <c r="R214" i="2"/>
  <c r="R140" i="2"/>
  <c r="R134" i="2"/>
  <c r="R132" i="2"/>
  <c r="R131" i="2"/>
  <c r="R122" i="2"/>
  <c r="R121" i="2"/>
  <c r="R119" i="2"/>
  <c r="R118" i="2"/>
  <c r="R116" i="2"/>
  <c r="R115" i="2"/>
  <c r="R109" i="2"/>
  <c r="R108" i="2"/>
  <c r="R107" i="2"/>
  <c r="R106" i="2"/>
  <c r="R74" i="2"/>
  <c r="V212" i="2"/>
  <c r="V234" i="2"/>
  <c r="V233" i="2"/>
  <c r="V231" i="2"/>
  <c r="V228" i="2"/>
  <c r="V227" i="2"/>
  <c r="V226" i="2"/>
  <c r="V225" i="2"/>
  <c r="V224" i="2"/>
  <c r="V223" i="2"/>
  <c r="V222" i="2"/>
  <c r="V221" i="2"/>
  <c r="V220" i="2"/>
  <c r="V218" i="2"/>
  <c r="V214" i="2"/>
  <c r="V140" i="2"/>
  <c r="V134" i="2"/>
  <c r="V132" i="2"/>
  <c r="V131" i="2"/>
  <c r="V122" i="2"/>
  <c r="V121" i="2"/>
  <c r="V119" i="2"/>
  <c r="V118" i="2"/>
  <c r="V116" i="2"/>
  <c r="V115" i="2"/>
  <c r="V109" i="2"/>
  <c r="V108" i="2"/>
  <c r="V107" i="2"/>
  <c r="V106" i="2"/>
  <c r="V74" i="2"/>
  <c r="Q234" i="2"/>
  <c r="Q233" i="2"/>
  <c r="Q231" i="2"/>
  <c r="Q228" i="2"/>
  <c r="Q227" i="2"/>
  <c r="Q226" i="2"/>
  <c r="Q225" i="2"/>
  <c r="Q224" i="2"/>
  <c r="Q223" i="2"/>
  <c r="Q222" i="2"/>
  <c r="Q221" i="2"/>
  <c r="Q220" i="2"/>
  <c r="Q218" i="2"/>
  <c r="Q214" i="2"/>
  <c r="Q212" i="2"/>
  <c r="Q140" i="2"/>
  <c r="Q134" i="2"/>
  <c r="Q132" i="2"/>
  <c r="Q131" i="2"/>
  <c r="Q122" i="2"/>
  <c r="Q121" i="2"/>
  <c r="Q119" i="2"/>
  <c r="Q118" i="2"/>
  <c r="Q116" i="2"/>
  <c r="Q115" i="2"/>
  <c r="Q109" i="2"/>
  <c r="Q108" i="2"/>
  <c r="Q107" i="2"/>
  <c r="Q106" i="2"/>
  <c r="Q74" i="2"/>
  <c r="S122" i="2"/>
  <c r="W122" i="2"/>
  <c r="S121" i="2"/>
  <c r="W121" i="2"/>
  <c r="S119" i="2"/>
  <c r="W119" i="2"/>
  <c r="S118" i="2"/>
  <c r="W118" i="2"/>
  <c r="S116" i="2"/>
  <c r="W116" i="2"/>
  <c r="S115" i="2"/>
  <c r="W115" i="2"/>
  <c r="M115" i="2"/>
  <c r="M116" i="2"/>
  <c r="M118" i="2"/>
  <c r="M119" i="2"/>
  <c r="M121" i="2"/>
  <c r="M122" i="2"/>
  <c r="AB122" i="2"/>
  <c r="AA122" i="2"/>
  <c r="Z122" i="2"/>
  <c r="K122" i="2"/>
  <c r="J122" i="2"/>
  <c r="I122" i="2"/>
  <c r="H122" i="2"/>
  <c r="G122" i="2"/>
  <c r="AB121" i="2"/>
  <c r="AA121" i="2"/>
  <c r="Z121" i="2"/>
  <c r="K121" i="2"/>
  <c r="J121" i="2"/>
  <c r="I121" i="2"/>
  <c r="H121" i="2"/>
  <c r="G121" i="2"/>
  <c r="AD120" i="2"/>
  <c r="W212" i="2"/>
  <c r="W234" i="2"/>
  <c r="W233" i="2"/>
  <c r="W231" i="2"/>
  <c r="W228" i="2"/>
  <c r="W227" i="2"/>
  <c r="W226" i="2"/>
  <c r="W225" i="2"/>
  <c r="W224" i="2"/>
  <c r="W223" i="2"/>
  <c r="W222" i="2"/>
  <c r="W221" i="2"/>
  <c r="W220" i="2"/>
  <c r="W218" i="2"/>
  <c r="W214" i="2"/>
  <c r="W140" i="2"/>
  <c r="W134" i="2"/>
  <c r="W132" i="2"/>
  <c r="W131" i="2"/>
  <c r="W109" i="2"/>
  <c r="W108" i="2"/>
  <c r="W107" i="2"/>
  <c r="W106" i="2"/>
  <c r="W74" i="2"/>
  <c r="S234" i="2"/>
  <c r="S233" i="2"/>
  <c r="S231" i="2"/>
  <c r="S228" i="2"/>
  <c r="S227" i="2"/>
  <c r="S226" i="2"/>
  <c r="S225" i="2"/>
  <c r="S224" i="2"/>
  <c r="S223" i="2"/>
  <c r="S222" i="2"/>
  <c r="S221" i="2"/>
  <c r="S220" i="2"/>
  <c r="S218" i="2"/>
  <c r="S214" i="2"/>
  <c r="S140" i="2"/>
  <c r="S134" i="2"/>
  <c r="S132" i="2"/>
  <c r="S131" i="2"/>
  <c r="S109" i="2"/>
  <c r="S108" i="2"/>
  <c r="S107" i="2"/>
  <c r="S106" i="2"/>
  <c r="S74" i="2"/>
  <c r="Z234" i="2"/>
  <c r="Z233" i="2"/>
  <c r="Z231" i="2"/>
  <c r="Z228" i="2"/>
  <c r="Z227" i="2"/>
  <c r="Z226" i="2"/>
  <c r="Z225" i="2"/>
  <c r="Z224" i="2"/>
  <c r="Z223" i="2"/>
  <c r="Z222" i="2"/>
  <c r="Z221" i="2"/>
  <c r="Z220" i="2"/>
  <c r="Z218" i="2"/>
  <c r="Z214" i="2"/>
  <c r="Z212" i="2"/>
  <c r="Z140" i="2"/>
  <c r="Z134" i="2"/>
  <c r="Z132" i="2"/>
  <c r="Z131" i="2"/>
  <c r="Z119" i="2"/>
  <c r="Z118" i="2"/>
  <c r="Z116" i="2"/>
  <c r="Z115" i="2"/>
  <c r="Z109" i="2"/>
  <c r="Z108" i="2"/>
  <c r="Z107" i="2"/>
  <c r="Z106" i="2"/>
  <c r="Z74" i="2"/>
  <c r="AA234" i="2"/>
  <c r="AA233" i="2"/>
  <c r="AA231" i="2"/>
  <c r="AA228" i="2"/>
  <c r="AA227" i="2"/>
  <c r="AA226" i="2"/>
  <c r="AA225" i="2"/>
  <c r="AA224" i="2"/>
  <c r="AA223" i="2"/>
  <c r="AA222" i="2"/>
  <c r="AA221" i="2"/>
  <c r="AA220" i="2"/>
  <c r="AA218" i="2"/>
  <c r="AA214" i="2"/>
  <c r="AA212" i="2"/>
  <c r="AA140" i="2"/>
  <c r="AA134" i="2"/>
  <c r="AA132" i="2"/>
  <c r="AA131" i="2"/>
  <c r="AA119" i="2"/>
  <c r="AA118" i="2"/>
  <c r="AA116" i="2"/>
  <c r="AA115" i="2"/>
  <c r="AA109" i="2"/>
  <c r="AA108" i="2"/>
  <c r="AA107" i="2"/>
  <c r="AA106" i="2"/>
  <c r="AA74" i="2"/>
  <c r="AB106" i="2"/>
  <c r="AB107" i="2"/>
  <c r="AB108" i="2"/>
  <c r="AB109" i="2"/>
  <c r="AB115" i="2"/>
  <c r="AB116" i="2"/>
  <c r="AB118" i="2"/>
  <c r="AB119" i="2"/>
  <c r="AB132" i="2"/>
  <c r="AB134" i="2"/>
  <c r="AB212" i="2"/>
  <c r="AB214" i="2"/>
  <c r="AB218" i="2"/>
  <c r="AB220" i="2"/>
  <c r="AB221" i="2"/>
  <c r="AB222" i="2"/>
  <c r="AB223" i="2"/>
  <c r="AB224" i="2"/>
  <c r="AB225" i="2"/>
  <c r="AB228" i="2"/>
  <c r="AB231" i="2"/>
  <c r="AB233" i="2"/>
  <c r="AB234" i="2"/>
  <c r="AB236" i="2"/>
  <c r="K234" i="2"/>
  <c r="M131" i="2"/>
  <c r="AD121" i="2" l="1"/>
  <c r="AD122" i="2"/>
  <c r="AC233" i="2"/>
  <c r="M225" i="2"/>
  <c r="M226" i="2"/>
  <c r="G226" i="2"/>
  <c r="M140" i="2"/>
  <c r="AD131" i="2"/>
  <c r="AC140" i="2"/>
  <c r="AD134" i="2"/>
  <c r="AC134" i="2"/>
  <c r="AC131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10" i="2"/>
  <c r="AD111" i="2"/>
  <c r="AD112" i="2"/>
  <c r="AD113" i="2"/>
  <c r="AD114" i="2"/>
  <c r="AD117" i="2"/>
  <c r="AD123" i="2"/>
  <c r="AD124" i="2"/>
  <c r="AD125" i="2"/>
  <c r="AD126" i="2"/>
  <c r="AD127" i="2"/>
  <c r="AD128" i="2"/>
  <c r="AD129" i="2"/>
  <c r="AD130" i="2"/>
  <c r="AD133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3" i="2"/>
  <c r="AD215" i="2"/>
  <c r="AD216" i="2"/>
  <c r="AD217" i="2"/>
  <c r="AD219" i="2"/>
  <c r="AD229" i="2"/>
  <c r="AD230" i="2"/>
  <c r="AD232" i="2"/>
  <c r="AD235" i="2"/>
  <c r="AD2" i="2"/>
  <c r="M74" i="2"/>
  <c r="AD74" i="2" s="1"/>
  <c r="AD225" i="2"/>
  <c r="K236" i="2" l="1"/>
  <c r="K233" i="2"/>
  <c r="K231" i="2"/>
  <c r="K228" i="2"/>
  <c r="K224" i="2"/>
  <c r="K223" i="2"/>
  <c r="K222" i="2"/>
  <c r="K221" i="2"/>
  <c r="K220" i="2"/>
  <c r="K218" i="2"/>
  <c r="K214" i="2"/>
  <c r="K212" i="2"/>
  <c r="K140" i="2"/>
  <c r="K134" i="2"/>
  <c r="K132" i="2"/>
  <c r="K131" i="2"/>
  <c r="K119" i="2"/>
  <c r="K118" i="2"/>
  <c r="K116" i="2"/>
  <c r="K115" i="2"/>
  <c r="K109" i="2"/>
  <c r="K108" i="2"/>
  <c r="K107" i="2"/>
  <c r="K106" i="2"/>
  <c r="AD222" i="2"/>
  <c r="AD223" i="2" l="1"/>
  <c r="AD221" i="2"/>
  <c r="AD233" i="2" l="1"/>
  <c r="AD224" i="2"/>
  <c r="M212" i="2"/>
  <c r="AD212" i="2" s="1"/>
  <c r="G106" i="2" l="1"/>
  <c r="H106" i="2"/>
  <c r="I106" i="2"/>
  <c r="J106" i="2"/>
  <c r="M106" i="2"/>
  <c r="AD106" i="2" s="1"/>
  <c r="G107" i="2"/>
  <c r="H107" i="2"/>
  <c r="I107" i="2"/>
  <c r="J107" i="2"/>
  <c r="M107" i="2"/>
  <c r="AD107" i="2" s="1"/>
  <c r="G108" i="2"/>
  <c r="H108" i="2"/>
  <c r="I108" i="2"/>
  <c r="J108" i="2"/>
  <c r="M108" i="2"/>
  <c r="AD108" i="2" s="1"/>
  <c r="G109" i="2"/>
  <c r="H109" i="2"/>
  <c r="I109" i="2"/>
  <c r="J109" i="2"/>
  <c r="M109" i="2"/>
  <c r="AD109" i="2" s="1"/>
  <c r="G115" i="2"/>
  <c r="H115" i="2"/>
  <c r="I115" i="2"/>
  <c r="J115" i="2"/>
  <c r="AD115" i="2"/>
  <c r="G116" i="2"/>
  <c r="H116" i="2"/>
  <c r="I116" i="2"/>
  <c r="J116" i="2"/>
  <c r="AD116" i="2"/>
  <c r="G118" i="2"/>
  <c r="H118" i="2"/>
  <c r="I118" i="2"/>
  <c r="J118" i="2"/>
  <c r="AD118" i="2"/>
  <c r="G119" i="2"/>
  <c r="H119" i="2"/>
  <c r="I119" i="2"/>
  <c r="J119" i="2"/>
  <c r="AD119" i="2"/>
  <c r="H126" i="2"/>
  <c r="H131" i="2"/>
  <c r="I131" i="2"/>
  <c r="J131" i="2"/>
  <c r="H132" i="2"/>
  <c r="I132" i="2"/>
  <c r="J132" i="2"/>
  <c r="M132" i="2"/>
  <c r="AD132" i="2" s="1"/>
  <c r="H212" i="2"/>
  <c r="I212" i="2"/>
  <c r="J212" i="2"/>
  <c r="H214" i="2"/>
  <c r="I214" i="2"/>
  <c r="M214" i="2"/>
  <c r="AD214" i="2" s="1"/>
  <c r="G218" i="2"/>
  <c r="H218" i="2"/>
  <c r="I218" i="2"/>
  <c r="J218" i="2"/>
  <c r="M218" i="2"/>
  <c r="AD218" i="2" s="1"/>
  <c r="I220" i="2"/>
  <c r="AD220" i="2"/>
  <c r="H221" i="2"/>
  <c r="I221" i="2"/>
  <c r="J221" i="2"/>
  <c r="H224" i="2"/>
  <c r="I224" i="2"/>
  <c r="J224" i="2"/>
  <c r="G225" i="2"/>
  <c r="G228" i="2"/>
  <c r="H228" i="2"/>
  <c r="I228" i="2"/>
  <c r="J228" i="2"/>
  <c r="M228" i="2"/>
  <c r="AD228" i="2" s="1"/>
  <c r="G231" i="2"/>
  <c r="H231" i="2"/>
  <c r="I231" i="2"/>
  <c r="J231" i="2"/>
  <c r="M231" i="2"/>
  <c r="AD231" i="2" s="1"/>
  <c r="G235" i="2"/>
  <c r="H235" i="2"/>
  <c r="J235" i="2"/>
  <c r="G236" i="2"/>
  <c r="H236" i="2"/>
  <c r="I236" i="2"/>
  <c r="J236" i="2"/>
  <c r="AD236" i="2"/>
  <c r="AE131" i="2" l="1"/>
  <c r="AF131" i="2"/>
  <c r="AE132" i="2"/>
  <c r="AF132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</calcChain>
</file>

<file path=xl/sharedStrings.xml><?xml version="1.0" encoding="utf-8"?>
<sst xmlns="http://schemas.openxmlformats.org/spreadsheetml/2006/main" count="2576" uniqueCount="603">
  <si>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</si>
  <si>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</si>
  <si>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</si>
  <si>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</si>
  <si>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</si>
  <si>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</si>
  <si>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</si>
  <si>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</si>
  <si>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</si>
  <si>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</si>
  <si>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</si>
  <si>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</si>
  <si>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</si>
  <si>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</si>
  <si>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</si>
  <si>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</si>
  <si>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</si>
  <si>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</si>
  <si>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</si>
  <si>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</si>
  <si>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</si>
  <si>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</si>
  <si>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</si>
  <si>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</si>
  <si>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</si>
  <si>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</si>
  <si>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</si>
  <si>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</si>
  <si>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</si>
  <si>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</si>
  <si>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</si>
  <si>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</si>
  <si>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</si>
  <si>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</si>
  <si>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</si>
  <si>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</si>
  <si>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</si>
  <si>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</si>
  <si>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</si>
  <si>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</si>
  <si>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</si>
  <si>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</si>
  <si>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</si>
  <si>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</si>
  <si>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</si>
  <si>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</si>
  <si>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</si>
  <si>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</si>
  <si>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</si>
  <si>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</si>
  <si>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</si>
  <si>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</si>
  <si>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</si>
  <si>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</si>
  <si>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</si>
  <si>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</si>
  <si>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</si>
  <si>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</si>
  <si>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</si>
  <si>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</si>
  <si>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</si>
  <si>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</si>
  <si>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</si>
  <si>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</si>
  <si>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</si>
  <si>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</si>
  <si>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</si>
  <si>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</si>
  <si>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</si>
  <si>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</si>
  <si>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</si>
  <si>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</si>
  <si>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</si>
  <si>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</si>
  <si>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</si>
  <si>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</si>
  <si>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</si>
  <si>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</si>
  <si>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</si>
  <si>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</si>
  <si>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</si>
  <si>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</si>
  <si>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</si>
  <si>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</si>
  <si>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</si>
  <si>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</si>
  <si>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sucrose_input_Swinnen_et_al_1994.csv</t>
  </si>
  <si>
    <t>True</t>
  </si>
  <si>
    <t>False</t>
  </si>
  <si>
    <t>jet</t>
  </si>
  <si>
    <t>WHEAT</t>
  </si>
  <si>
    <t>n_seminal_roots</t>
  </si>
  <si>
    <t>Character / [no units]</t>
  </si>
  <si>
    <t>Type/ Unit</t>
  </si>
  <si>
    <t>Real number /days</t>
  </si>
  <si>
    <t>Boolean / [no units]</t>
  </si>
  <si>
    <t>Integer / [no units]</t>
  </si>
  <si>
    <t>Real number / mol of sucrose per second</t>
  </si>
  <si>
    <t>Real number / mol of C per mol of C</t>
  </si>
  <si>
    <t>Real number / meters</t>
  </si>
  <si>
    <t>Real number / [units of the selected property]</t>
  </si>
  <si>
    <t>Real number / [no units]</t>
  </si>
  <si>
    <t>Real number / [meters per meter per step]</t>
  </si>
  <si>
    <t>Real number / [meters per meter]</t>
  </si>
  <si>
    <t>Integer / [number of roots]</t>
  </si>
  <si>
    <t>Real number / number of roots per second</t>
  </si>
  <si>
    <t>Real number / meters of root per meter of radius per second-equivalent-to-T_ref_growth</t>
  </si>
  <si>
    <t>Real number / second-equivalent-to-T_ref_growth</t>
  </si>
  <si>
    <t>Real number / [square meters per square meters]</t>
  </si>
  <si>
    <t>Real number / second-equivalent-to-temperature-T_ref_growth x meter4 x gram-1</t>
  </si>
  <si>
    <t>Real number / degree Celsius</t>
  </si>
  <si>
    <t>Real number / meters per meter per second</t>
  </si>
  <si>
    <t>Real number / mol of respired CO2 per mol of C used for structural mass</t>
  </si>
  <si>
    <t>Explanation</t>
  </si>
  <si>
    <t>Time step used in the input file</t>
  </si>
  <si>
    <t>Total duration of the simulation</t>
  </si>
  <si>
    <t>Time step used in the simulation</t>
  </si>
  <si>
    <t>Constant input of sucrose to apply</t>
  </si>
  <si>
    <t>Constant soil temperature to apply</t>
  </si>
  <si>
    <t>Maximal order of roots that can emerge</t>
  </si>
  <si>
    <t>Fraction of the input of C provided as sucrose to the root system that is actually considered as "biomass" by ArchiSimple</t>
  </si>
  <si>
    <t>Minimal soil depth of the first soil layer</t>
  </si>
  <si>
    <t>Maximal soil depth of the last soil layer</t>
  </si>
  <si>
    <t>Thickness of each soil layer</t>
  </si>
  <si>
    <t>Time interval separating the automatic recording of simulation results</t>
  </si>
  <si>
    <t>Name of the variable to be displayed on the graph</t>
  </si>
  <si>
    <t>Minimum value of the displayed property on the scale</t>
  </si>
  <si>
    <t>Maximum value of the displayed property on the scale</t>
  </si>
  <si>
    <t>Name of the color range to apply to the scale of the graph</t>
  </si>
  <si>
    <t>Option to allow displaying root hairs (True/False)</t>
  </si>
  <si>
    <t>Option to introduce stochastic processes (True/False)</t>
  </si>
  <si>
    <t>Random seed to specify a repeatable random Option</t>
  </si>
  <si>
    <t>Option to set constant inputs and ignore input file (True/False)</t>
  </si>
  <si>
    <t>Option to allow nodule growth (True/False)</t>
  </si>
  <si>
    <t>Option to limit the emergence of roots of high orders (True/False)</t>
  </si>
  <si>
    <t>Option to allow radial growth (True/False)</t>
  </si>
  <si>
    <t>Option to allow recording the images from PlantGL over time (True/False)</t>
  </si>
  <si>
    <t>Option to allow computing the distribution of various variables per layers of soil (True/False)</t>
  </si>
  <si>
    <t>Option to allow the display of the root system in PlantGL (True/False)</t>
  </si>
  <si>
    <t>Option to set the scale of the graph as a logarithmic scale (True/False)</t>
  </si>
  <si>
    <t>Option to simulate with ArchiSimple only and ignore additional processes</t>
  </si>
  <si>
    <t>Option to allow rotating the camera around the root system (True/False)</t>
  </si>
  <si>
    <t>Total number of camera positions over its rotation around the root system</t>
  </si>
  <si>
    <t>x coordinate of the center of the graph relative to the growth start</t>
  </si>
  <si>
    <t>y coordinate of the center of the graph relative to the growth start</t>
  </si>
  <si>
    <t>z coordinate of the center of the graph relative to the growth start</t>
  </si>
  <si>
    <t>Initial z coordinate of the camera</t>
  </si>
  <si>
    <t>Initial distance of the camera</t>
  </si>
  <si>
    <t>Relative increase in distance of the camera for each new simulation step</t>
  </si>
  <si>
    <t>Length of the root segment of the initial root system at the beginning of the simulation</t>
  </si>
  <si>
    <t>Sucrose concentration of the root segment of the initial root system at the beginning of the simulation</t>
  </si>
  <si>
    <t>Hexose concentration of the root segment of the initial root system at the beginning of the simulation</t>
  </si>
  <si>
    <t>Diameter of the primary root</t>
  </si>
  <si>
    <t>Minimum diameter below which no root is allowed to emerge</t>
  </si>
  <si>
    <t>Total number of seminal roots</t>
  </si>
  <si>
    <t>Total number of adventitious roots</t>
  </si>
  <si>
    <t>Ratio between the mean diameter of adventitious roots and the diameter of the primary root</t>
  </si>
  <si>
    <t>Elongation rate of a given root relative to its diameter</t>
  </si>
  <si>
    <t>Inter primordia distance</t>
  </si>
  <si>
    <t>Time period below which a newly-formed root primordium cannot emerge</t>
  </si>
  <si>
    <t>Average ratio of the diameter of the daughter root to that of the mother root</t>
  </si>
  <si>
    <t>Relative variation of the daughter root diameter around its average value defined by the diameter of the mother root</t>
  </si>
  <si>
    <t>Proportionality coefficient between the section area of the segment and the sum of distal section areas, based on the pipe model</t>
  </si>
  <si>
    <t>Coefficient of life duration</t>
  </si>
  <si>
    <t>Root tissue density</t>
  </si>
  <si>
    <t>Carbon content of the dry structural mass</t>
  </si>
  <si>
    <t>Length of each root segment</t>
  </si>
  <si>
    <t>Coefficient of gravitropism (the higher it is, the faster the roots are growing downwards)</t>
  </si>
  <si>
    <t>Minimal concentration of hexose in the reserve pool</t>
  </si>
  <si>
    <t>Maximal concentration of hexose in the reserve pool</t>
  </si>
  <si>
    <t>Minimal concentration of hexose in the root below which no immobilization into the reserve pool can occur</t>
  </si>
  <si>
    <t>Relative ratio between the length of growing zone of the root (including meristem and elongation zone) and its radius</t>
  </si>
  <si>
    <t>Reference temperature for all root growth processes, which is supposed to correspond to the optimal temperature for maximizing potential growth in ArchiSimple</t>
  </si>
  <si>
    <t>Growth yield as defined by Thornley and Cannell (2000), which corresponds to the fraction of C used for biomass production as opposed to the fraction of C used for growth respiration</t>
  </si>
  <si>
    <t>Affinity constant (in terms of Michaelis-Menten formalism) for root elongation, corresponding to the concentration for which the rate is equal to half of the maximal rate</t>
  </si>
  <si>
    <t>Maximal rate of radial growth, expressed as the maximal relative increase of radius over time</t>
  </si>
  <si>
    <t>Affinity constant (in terms of Michaelis-Menten formalism) for radial growth, corresponding to the concentration for which the rate is equal to half of the maximal rate</t>
  </si>
  <si>
    <t>Proportionality coefficient between the total exchange surface of phloem tissues and the total external surface of the root</t>
  </si>
  <si>
    <t>Coefficient of "permeability" of phloem vessels</t>
  </si>
  <si>
    <t>Maximum unloading rate of sucrose through the surface of the phloem vessels</t>
  </si>
  <si>
    <t>Real number / mol of sucrose per square meter of phloem per second</t>
  </si>
  <si>
    <t>Exponential coefficient affecting the increase of loading with distance from the apex</t>
  </si>
  <si>
    <t>Affinity constant (in terms of Michaelis-Menten formalism) for phloem loading, corresponding to the concentration for which the rate is equal to half of the maximal rate</t>
  </si>
  <si>
    <t>Real number / [square meters per square meter]</t>
  </si>
  <si>
    <t>Maximal immobilization rate of hexose into the reserve pool</t>
  </si>
  <si>
    <t>Affinity constant (in terms of Michaelis-Menten formalism) for hexose immobilization, corresponding to the concentration for which the rate is equal to half of the maximal rate</t>
  </si>
  <si>
    <t>Affinity constant (in terms of Michaelis-Menten formalism) for hexose mobilization from reserve, corresponding to the concentration for which the rate is equal to half of the maximal rate</t>
  </si>
  <si>
    <t>Maximal mobilization rate of hexose from the reserve</t>
  </si>
  <si>
    <t>Maximal rate of maintenance respiration</t>
  </si>
  <si>
    <t>Affinity constant (in terms of Michaelis-Menten formalism) for maintenance respiration, corresponding to the concentration for which the rate is equal to half of the maximal rate</t>
  </si>
  <si>
    <t>Coefficient of permeability of root cortical and epidermal symplasm</t>
  </si>
  <si>
    <t>Exponential coefficient affecting the decrease of exudation with distance from the apex</t>
  </si>
  <si>
    <t>Maximal rate of hexose uptake from the soil-root interface</t>
  </si>
  <si>
    <t>Affinity constant (in terms of Michaelis-Menten formalism) for hexose uptake from the soil-root interface, corresponding to the concentration for which the rate is equal to half of the maximal rate</t>
  </si>
  <si>
    <t>Maximal rate of hexose consumption at the soil-root interface</t>
  </si>
  <si>
    <t>Affinity constant (in terms of Michaelis-Menten formalism) for hexose consumption at the soil-root interface, corresponding to the concentration for which the rate is equal to half of the maximal rate</t>
  </si>
  <si>
    <t>Real number / mol of sucrose per gram of root dry structural biomass</t>
  </si>
  <si>
    <t>Real number / gram of root dry structural mass per cubic meter</t>
  </si>
  <si>
    <t>Real number / mol of C per gram of root dry structural mass</t>
  </si>
  <si>
    <t>Real number / mol of hexose per gram of root dry structural mass</t>
  </si>
  <si>
    <t>Real number / gram of root dry structural biomass per square meter of phloem per second</t>
  </si>
  <si>
    <t>Real number / mol of hexose per gram of root dry structural mass per second</t>
  </si>
  <si>
    <t>Real number / gram of root dry structural biomass per square meter of symplasm per second</t>
  </si>
  <si>
    <t>Real number / [second per second]</t>
  </si>
  <si>
    <t>Plant genotype (not used in the simulation)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</si>
  <si>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</si>
  <si>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</si>
  <si>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</si>
  <si>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</si>
  <si>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</si>
  <si>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</si>
  <si>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</si>
  <si>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</si>
  <si>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</si>
  <si>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</si>
  <si>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</si>
  <si>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</si>
  <si>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</si>
  <si>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</si>
  <si>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</si>
  <si>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</si>
  <si>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</si>
  <si>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</si>
  <si>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</si>
  <si>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</si>
  <si>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</si>
  <si>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</si>
  <si>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</si>
  <si>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</si>
  <si>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</si>
  <si>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</si>
  <si>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</si>
  <si>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</si>
  <si>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</si>
  <si>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</si>
  <si>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</si>
  <si>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</si>
  <si>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</si>
  <si>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</si>
  <si>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</si>
  <si>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</si>
  <si>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</si>
  <si>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</si>
  <si>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</si>
  <si>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</si>
  <si>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</si>
  <si>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</si>
  <si>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</si>
  <si>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</si>
  <si>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</si>
  <si>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</si>
  <si>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</si>
  <si>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</si>
  <si>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</si>
  <si>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</si>
  <si>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</si>
  <si>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</si>
  <si>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</si>
  <si>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</si>
  <si>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</si>
  <si>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</si>
  <si>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</si>
  <si>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</si>
  <si>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</si>
  <si>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</si>
  <si>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</si>
  <si>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</si>
  <si>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</si>
  <si>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</si>
  <si>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</si>
  <si>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</si>
  <si>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</si>
  <si>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</si>
  <si>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</si>
  <si>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</si>
  <si>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</si>
  <si>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</si>
  <si>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</si>
  <si>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</si>
  <si>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</si>
  <si>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</si>
  <si>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</si>
  <si>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</si>
  <si>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</si>
  <si>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</si>
  <si>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Ratio between the mean diameter of seminal roots and the diameter of the primary root</t>
  </si>
  <si>
    <t>List from 'updated_parameters.csv'</t>
  </si>
  <si>
    <t>List from 'scenario_as_columns' sheet</t>
  </si>
  <si>
    <t>Missing parameters in 'scenario_as_columns' sheet</t>
  </si>
  <si>
    <t>Time period below which no primordium of adventitious roots can emerge</t>
  </si>
  <si>
    <t>Relative value of a growth process when reaching the soil temperature of T_ref_growth (1 by default)</t>
  </si>
  <si>
    <t>Mean radius of a root hair</t>
  </si>
  <si>
    <t>Maximal length of a root hair</t>
  </si>
  <si>
    <t>Maximal elongation rate of a root hair</t>
  </si>
  <si>
    <t>Life duration of a root hair</t>
  </si>
  <si>
    <t>Real number / number of hairs par meter of root per meter of root radius</t>
  </si>
  <si>
    <t>Coefficient of density of root hairs along a root</t>
  </si>
  <si>
    <t>Real number / seconds</t>
  </si>
  <si>
    <t>Real number / meters of hair per meter of root radius per second</t>
  </si>
  <si>
    <t>Reference temperature for setting the temperature-dependence of the maximal rate of maintenance respiration</t>
  </si>
  <si>
    <t>Coefficient A used for setting the temperature-dependence of the maximal rate of maintenance respiration</t>
  </si>
  <si>
    <t>Coefficient B used for setting the temperature-dependence of the maximal rate of maintenance respiration</t>
  </si>
  <si>
    <t>Real number / per degree Celsius</t>
  </si>
  <si>
    <t>Coefficient C used for setting the temperature-dependence of the maximal rate of maintenance respiration (0 / 1)</t>
  </si>
  <si>
    <t>Reference temperature for setting the temperature-dependence of hexose immobilization</t>
  </si>
  <si>
    <t>Coefficient A used for setting the temperature-dependence of hexose immobilization</t>
  </si>
  <si>
    <t>Coefficient B used for setting the temperature-dependence of hexose immobilization</t>
  </si>
  <si>
    <t>Coefficient C used for setting the temperature-dependence of hexose immobilization (0 / 1)</t>
  </si>
  <si>
    <t>Reference temperature for setting the temperature-dependence of hexose mobilization</t>
  </si>
  <si>
    <t>Coefficient A used for setting the temperature-dependence of hexose mobilization</t>
  </si>
  <si>
    <t>Coefficient B used for setting the temperature-dependence of hexose mobilization</t>
  </si>
  <si>
    <t>Coefficient C used for setting the temperature-dependence of hexose mobilization (0 / 1)</t>
  </si>
  <si>
    <t>Reference temperature for setting the temperature-dependence of phloem unloading</t>
  </si>
  <si>
    <t>Coefficient A used for setting the temperature-dependence of phloem unloading</t>
  </si>
  <si>
    <t>Coefficient B used for setting the temperature-dependence of phloem unloading</t>
  </si>
  <si>
    <t>Coefficient C used for setting the temperature-dependence of phloem unloading (0 / 1)</t>
  </si>
  <si>
    <t>Reference temperature for setting the temperature-dependence of phloem loading</t>
  </si>
  <si>
    <t>Coefficient A used for setting the temperature-dependence of phloem loading</t>
  </si>
  <si>
    <t>Coefficient B used for setting the temperature-dependence of phloem loading</t>
  </si>
  <si>
    <t>Coefficient C used for setting the temperature-dependence of phloem loading (0 / 1)</t>
  </si>
  <si>
    <t>Reference temperature for setting the temperature-dependence of exudation rate</t>
  </si>
  <si>
    <t>Coefficient A used for setting the temperature-dependence of exudation rate</t>
  </si>
  <si>
    <t>Coefficient B used for setting the temperature-dependence of exudation rate</t>
  </si>
  <si>
    <t>Coefficient C used for setting the temperature-dependence of exudation rate (0 / 1)</t>
  </si>
  <si>
    <t>Reference temperature for setting the temperature-dependence of the maximal rate of hexose uptake</t>
  </si>
  <si>
    <t>Coefficient A used for setting the temperature-dependence of the maximal rate of hexose uptake</t>
  </si>
  <si>
    <t>Coefficient B used for setting the temperature-dependence of the maximal rate of hexose uptake</t>
  </si>
  <si>
    <t>Coefficient C used for setting the temperature-dependence of the maximal rate of hexose uptake (0 / 1)</t>
  </si>
  <si>
    <t>Maximum rate of mucilage secretion</t>
  </si>
  <si>
    <t>Real number / mol of hexose per square meter per second</t>
  </si>
  <si>
    <t>Reference temperature for setting the temperature-dependence of the maximal rate of mucilage secretion</t>
  </si>
  <si>
    <t>Coefficient A used for setting the temperature-dependence of the maximal rate of mucilage secretion</t>
  </si>
  <si>
    <t>Coefficient B used for setting the temperature-dependence of the maximal rate of mucilage secretion</t>
  </si>
  <si>
    <t>Coefficient C used for setting the temperature-dependence of the maximal rate of mucilage secretion (0 / 1)</t>
  </si>
  <si>
    <t>Reference temperature for setting the temperature-dependence of the maximal rate of cells release</t>
  </si>
  <si>
    <t>Coefficient A used for setting the temperature-dependence of the maximal rate of cells release</t>
  </si>
  <si>
    <t>Coefficient B used for setting the temperature-dependence of the maximal rate of cells release</t>
  </si>
  <si>
    <t>Coefficient C used for setting the temperature-dependence of the maximal rate of cells release (0 / 1)</t>
  </si>
  <si>
    <t>Reference temperature for setting the temperature-dependence of the maximal rate of hexose degradation</t>
  </si>
  <si>
    <t>Coefficient A used for setting the temperature-dependence of the maximal rate of hexose degradation</t>
  </si>
  <si>
    <t>Coefficient B used for setting the temperature-dependence of the maximal rate of hexose degradation</t>
  </si>
  <si>
    <t>Coefficient C used for setting the temperature-dependence of the maximal rate of hexose degradation (0 / 1)</t>
  </si>
  <si>
    <t>Reference temperature for setting the temperature-dependence of the maximal rate of mucilage degradation</t>
  </si>
  <si>
    <t>Coefficient A used for setting the temperature-dependence of the maximal rate of mucilage degradation</t>
  </si>
  <si>
    <t>Coefficient B used for setting the temperature-dependence of the maximal rate of mucilage degradation</t>
  </si>
  <si>
    <t>Coefficient C used for setting the temperature-dependence of the maximal rate of mucilage degradation (0 / 1)</t>
  </si>
  <si>
    <t>Reference temperature for setting the temperature-dependence of the maximal rate of root cells degradation</t>
  </si>
  <si>
    <t>Coefficient A used for setting the temperature-dependence of the maximal rate of root cells degradation</t>
  </si>
  <si>
    <t>Coefficient B used for setting the temperature-dependence of the maximal rate of root cells degradation</t>
  </si>
  <si>
    <t>Coefficient C used for setting the temperature-dependence of the maximal rate of root cells degradation (0 / 1)</t>
  </si>
  <si>
    <t>Affinity constant (in terms of Michaelis-Menten formalism) for mucilage secretion, corresponding to the concentration for which the rate is equal to half of the maximal rate</t>
  </si>
  <si>
    <t>Exponential coefficient affecting the secretion of mucilage with the distance from the apex</t>
  </si>
  <si>
    <t>Maximum rate of root cells release</t>
  </si>
  <si>
    <t>Real number / mol of equivalent hexose per square meter per second</t>
  </si>
  <si>
    <t>Maximal concentration of root cells in soil, above which no release of cells is possible</t>
  </si>
  <si>
    <t>Real number / mol of equivalent-hexose per gram of root dry structural mass</t>
  </si>
  <si>
    <t>Maximal rate of mucilage degradation at the soil-root interface</t>
  </si>
  <si>
    <t>Maximal rate of root cells degradation at the soil-root interface</t>
  </si>
  <si>
    <t>Real number / mol of equivalent hexose per gram of root dry structural mass per second</t>
  </si>
  <si>
    <t>Affinity constant (in terms of Michaelis-Menten formalism) for mucilage degradation at the soil-root interface, corresponding to the concentration for which the rate is equal to half of the maximal rate</t>
  </si>
  <si>
    <t>Real number / mol of equivalent hexose per gram of root dry structural mass</t>
  </si>
  <si>
    <t>Affinity constant (in terms of Michaelis-Menten formalism) for cells degradation at the soil-root interface, corresponding to the concentration for which the rate is equal to half of the maximal rate</t>
  </si>
  <si>
    <t>Plant_genotype</t>
  </si>
  <si>
    <t>using_solver</t>
  </si>
  <si>
    <t>Option to use a solver for calculating the equilibrium C concentrations at each time step and for each root element</t>
  </si>
  <si>
    <t>printing_solver_outputs</t>
  </si>
  <si>
    <t>Option to print the outputs of the solver</t>
  </si>
  <si>
    <t>stelar_parenchyma_surfacic_fraction</t>
  </si>
  <si>
    <t>cortical_parenchyma_surfacic_fraction</t>
  </si>
  <si>
    <t>epidermal_parenchyma_surfacic_fraction</t>
  </si>
  <si>
    <t>Proportionality coefficient between the total exchange surface of stelar parenchyma and the total external surface of the root</t>
  </si>
  <si>
    <t>Proportionality coefficient between the total exchange surface of cortical parenchyma and the total external surface of the root</t>
  </si>
  <si>
    <t>Proportionality coefficient between the total exchange surface of epidermis and the total external surface of the root</t>
  </si>
  <si>
    <t>Option to record the properties of each node in an Excel file, for each time step</t>
  </si>
  <si>
    <t>Option to record the MTG in a pickle file, for each time step</t>
  </si>
  <si>
    <t>recording_MTG_properties</t>
  </si>
  <si>
    <t>recording_MTG_files</t>
  </si>
  <si>
    <t>printing_warnings</t>
  </si>
  <si>
    <t>Option to print all warnings</t>
  </si>
  <si>
    <t>Reference_value</t>
  </si>
  <si>
    <t>initial_apex_length</t>
  </si>
  <si>
    <t>Length of the apex of the initial root system at the beginning of the simulation</t>
  </si>
  <si>
    <t>Emission rate of seminal/adventitious roots over time</t>
  </si>
  <si>
    <t>total_exchange_surface_with_soil_solution</t>
  </si>
  <si>
    <t>Ratio between the length of the meristem zone and root radius</t>
  </si>
  <si>
    <t>relative_conductance_at_meristem</t>
  </si>
  <si>
    <t>Relative conductance of cell walls in the meristem zone</t>
  </si>
  <si>
    <t>start_thermal_time_for_endodermis_formation</t>
  </si>
  <si>
    <t>Thermal age of root cells at which the formation of endodermis starts</t>
  </si>
  <si>
    <t>end_thermal_time_for_endodermis_formation</t>
  </si>
  <si>
    <t>Thermal age of root cells at which the formation of endodermis ends</t>
  </si>
  <si>
    <t>start_thermal_time_for_exodermis_formation</t>
  </si>
  <si>
    <t>Thermal age of root cells at which the formation of exodermis starts</t>
  </si>
  <si>
    <t>end_thermal_time_for_exodermis_formation</t>
  </si>
  <si>
    <t>Thermal age of root cells at which the formation of exodermis ends</t>
  </si>
  <si>
    <t>max_thermal_time_since_endodermis_disruption</t>
  </si>
  <si>
    <t>Thermal time above which no endodermis disruption in the mother root is considered anymore once a lateral root has started to emerge</t>
  </si>
  <si>
    <t>max_thermal_time_since_exodermis_disruption</t>
  </si>
  <si>
    <t>Thermal time above which no exodermis disruption in the mother root is considered anymore once a lateral root has started to emerge</t>
  </si>
  <si>
    <t>Real number / meters per square meter</t>
  </si>
  <si>
    <t>GD_low</t>
  </si>
  <si>
    <t>GD_medium</t>
  </si>
  <si>
    <t>GD_high</t>
  </si>
  <si>
    <t>Growth duration for short-growing roots</t>
  </si>
  <si>
    <t>Growth duration for long-growing roots</t>
  </si>
  <si>
    <t>Growth duration for seminal and adventitious roots</t>
  </si>
  <si>
    <t>forcing_seminal_roots_events</t>
  </si>
  <si>
    <t>Option to force the regular apparition of seminal roots with ER parameter (True/False)</t>
  </si>
  <si>
    <t>forcing_adventitious_roots_events</t>
  </si>
  <si>
    <t>Option to force the regular apparition of adventitious roots with ER parameter (True/False)</t>
  </si>
  <si>
    <t>GD_prob_low</t>
  </si>
  <si>
    <t>GD_prob_medium</t>
  </si>
  <si>
    <t>GD_highest</t>
  </si>
  <si>
    <t>Coefficient of growth duration extension, by which the theoretical growth duration is multiplied for seminal and adventitious roots</t>
  </si>
  <si>
    <t>GD_by_frequency</t>
  </si>
  <si>
    <t>Growth duration for intermediate-growing roots</t>
  </si>
  <si>
    <t>Probability of getting the GD_low value</t>
  </si>
  <si>
    <t>Probability of getting the GD_low or the GD_medium value</t>
  </si>
  <si>
    <t>Real number / second-equivalent-to-temperature-T_ref_growth per square meter of diameter</t>
  </si>
  <si>
    <t>Coefficient of growth duration relative to the square of the root radius</t>
  </si>
  <si>
    <t>Option to force the growth duration to be defined according to a few possible values, depending on their respective probability</t>
  </si>
  <si>
    <t>Maximal relative resistance (%) of endodermis to apoplastic transport (100% = no apoplastic transport)</t>
  </si>
  <si>
    <t>Gompertz parameter b for endodermis - period since cells formation before the significant increase in relative resistance due to endodermis formation</t>
  </si>
  <si>
    <t>Gompertz parameter c for endodermis - slope of the significant increase in relative resistance due to endodermis formation</t>
  </si>
  <si>
    <t>Maximal relative resistance (%) of exodermis to apoplastic transport (100% = no apoplastic transport)</t>
  </si>
  <si>
    <t>Gompertz parameter b for exodermis - period since cells formation before the significant increase in relative resistance due to endodermis formation</t>
  </si>
  <si>
    <t>Gompertz parameter c for exodermis - slope of the significant increase in relative resistance due to endodermis formation</t>
  </si>
  <si>
    <t>Real number / %</t>
  </si>
  <si>
    <t>Real number / seconds-equivalent-to-T_ref_growth</t>
  </si>
  <si>
    <t>Real number / seconds-1 (equivalent-to-T_ref_growth)</t>
  </si>
  <si>
    <t>C_hexose_root</t>
  </si>
  <si>
    <t>PlantGL_window_width</t>
  </si>
  <si>
    <t>PlantGL_window_height</t>
  </si>
  <si>
    <t>Width of the window opened by PlantGL to display the graph (and eventually of the image that will be registered)</t>
  </si>
  <si>
    <t>Height of the window opened by PlantGL to display the graph (and eventually of the image that will be registered)</t>
  </si>
  <si>
    <t>reference_rate_of_hexose_consumption_by_growth</t>
  </si>
  <si>
    <t>Reference rate of hexose consumption for growth (used to proportionnally increase the permeability of phloem according to the actual rate of hexose consumption)</t>
  </si>
  <si>
    <t>Real number / mol of hexose per second</t>
  </si>
  <si>
    <t>max_unloading_rate</t>
  </si>
  <si>
    <t>Affinity constant (in terms of Michaelis-Menten formalism) for phloem unloading, corresponding to the concentration for which the rate is equal to half of the maximal rate</t>
  </si>
  <si>
    <t>Real number / mol of sucrose per gram of root dry structural mass</t>
  </si>
  <si>
    <t>start_from_a_known_root_MTG</t>
  </si>
  <si>
    <t>Option to start from a given root MTG to be loaded, or from scratch (True/False)</t>
  </si>
  <si>
    <t>unloading_by_diffusion</t>
  </si>
  <si>
    <t>Option to select a diffusion process rather than a Michaelis-Menten to describe phloem unloading (True/False)</t>
  </si>
  <si>
    <t>starting_time_in_days</t>
  </si>
  <si>
    <t xml:space="preserve">Time in the input file at which the simulation will start </t>
  </si>
  <si>
    <t>C_hexose_min_for_elongation</t>
  </si>
  <si>
    <t>Treshold hexose concentration for elongation, below which no elongation occurs</t>
  </si>
  <si>
    <t>C_hexose_min_for_thickening</t>
  </si>
  <si>
    <t>Treshold hexose concentration for elongation, below which no thickening occurs</t>
  </si>
  <si>
    <t>mycorrhizal_fungus</t>
  </si>
  <si>
    <t>Option to allow interaction with mycorrhizal fungi (True/False)</t>
  </si>
  <si>
    <t>Option to artiticially rehomogenize the concentrations of sugars along the roots at the end of the time step (True/False)</t>
  </si>
  <si>
    <t>background_color</t>
  </si>
  <si>
    <t>RGB vector describing the color of the background of the MTG (from 0 to 255 for each value, 0=black and 255=white)</t>
  </si>
  <si>
    <t>3D vector / [no units]</t>
  </si>
  <si>
    <t>[94,76,64]</t>
  </si>
  <si>
    <t>homogenizing_root_sugar_concentrations</t>
  </si>
  <si>
    <t>homogenizing_soil_concentrations</t>
  </si>
  <si>
    <t>Option to artiticially rehomogenize the concentrations of rhizodeposits along the roots at the end of the time step (True/False)</t>
  </si>
  <si>
    <t>Real number /degree Celsius</t>
  </si>
  <si>
    <t>renewal_of_soil_solution</t>
  </si>
  <si>
    <t>Option to artificially renew the soil solution and set the rhizodeposits concentrations to 0, at regular interval of time</t>
  </si>
  <si>
    <t>interval_between_renewal_events</t>
  </si>
  <si>
    <t>Interval of time between two soil solution's renewal events</t>
  </si>
  <si>
    <t>Input</t>
  </si>
  <si>
    <t>Input_type</t>
  </si>
  <si>
    <t>parameter</t>
  </si>
  <si>
    <t>sucrose_input_rate</t>
  </si>
  <si>
    <t>input_tables</t>
  </si>
  <si>
    <t>Name of the file containing the sucrose inputs at collar</t>
  </si>
  <si>
    <t>mol.s-1</t>
  </si>
  <si>
    <t>None</t>
  </si>
  <si>
    <t>Name of the file containing the cytokinins exports at collar</t>
  </si>
  <si>
    <t>UA.s-1</t>
  </si>
  <si>
    <t>Name of the file containing the Transpiration related water exports at collar</t>
  </si>
  <si>
    <t>inputs_CN_Wheat_Ljutovac_2003.csv</t>
  </si>
  <si>
    <t>cytokinins_root_shoot_xylem</t>
  </si>
  <si>
    <t>water_root_shoot_xylem</t>
  </si>
  <si>
    <t>Dedicated_to</t>
  </si>
  <si>
    <t>root_bridges</t>
  </si>
  <si>
    <t>Organ_label</t>
  </si>
  <si>
    <t>sucrose_input_Swinnen_et_al_1994_v2.csv</t>
  </si>
  <si>
    <t>soil_temperature</t>
  </si>
  <si>
    <t>Input file containing soil temperature evolution over time for the soil model</t>
  </si>
  <si>
    <t>°C</t>
  </si>
  <si>
    <t>meteo_Ljutovac2002.csv</t>
  </si>
  <si>
    <t>NW_collar_Fischer_1966_Reicoski_1994.csv</t>
  </si>
  <si>
    <t>mol.m-3</t>
  </si>
  <si>
    <t>Reference_Fischer</t>
  </si>
  <si>
    <t>meristem_limit_zone_factor</t>
  </si>
  <si>
    <t>start_distance_for_endodermis_factor</t>
  </si>
  <si>
    <t>end_distance_for_endodermis_factor</t>
  </si>
  <si>
    <t>start_distance_for_exodermis_factor</t>
  </si>
  <si>
    <t>end_distance_for_exodermis_factor</t>
  </si>
  <si>
    <t>Ratio between the distance from tip where barriers formation starts/ends, and root radius</t>
  </si>
  <si>
    <t>adim</t>
  </si>
  <si>
    <t>patch_depth_mineralN</t>
  </si>
  <si>
    <t>patch_uniform_width_mineralN</t>
  </si>
  <si>
    <t>patch_transition_mineralN</t>
  </si>
  <si>
    <t>m</t>
  </si>
  <si>
    <t>Mineral nitrogen concentration in a located patch in soil</t>
  </si>
  <si>
    <t>Depth of a nitrate patch in soil</t>
  </si>
  <si>
    <t>Width of the zone of the patch with uniform concentration of nitrate</t>
  </si>
  <si>
    <t>Variance of the normal law smooting the boundary transition of a nitrate patch with the background concentration</t>
  </si>
  <si>
    <t>Km_elongation_amino_acids</t>
  </si>
  <si>
    <t>Affinity constant for root elongation regarding amino_acids consumption</t>
  </si>
  <si>
    <t>mol.g-1 DW</t>
  </si>
  <si>
    <t>span_N_regulation</t>
  </si>
  <si>
    <t>Variation range of concentration during which Km changes occur</t>
  </si>
  <si>
    <t>mol.g-1</t>
  </si>
  <si>
    <t>Drew_temperature_si.csv</t>
  </si>
  <si>
    <t>no_root_hairs_patch</t>
  </si>
  <si>
    <t>no_root_hairs</t>
  </si>
  <si>
    <t>root_mtg_file</t>
  </si>
  <si>
    <t>input_mtg</t>
  </si>
  <si>
    <t>Name of the root MTG file to be loaded (if the option above has been declared True)</t>
  </si>
  <si>
    <t>no unit</t>
  </si>
  <si>
    <t>root_1080.pckl</t>
  </si>
  <si>
    <t>plant_age</t>
  </si>
  <si>
    <t>Plant age to be used to start reading input tables in case of starting after seeding</t>
  </si>
  <si>
    <t>hours</t>
  </si>
  <si>
    <t>roots</t>
  </si>
  <si>
    <t>TRUE</t>
  </si>
  <si>
    <t>diffusion_soil</t>
  </si>
  <si>
    <t>diffusion_phloem</t>
  </si>
  <si>
    <t>diffusion_xylem</t>
  </si>
  <si>
    <t>vmax_Nm_xylem</t>
  </si>
  <si>
    <t>xylem_cross_area_ratio</t>
  </si>
  <si>
    <t>water_moisture_patch</t>
  </si>
  <si>
    <t>patch_depth_water_moisture</t>
  </si>
  <si>
    <t>patch_uniform_width_water_moisture</t>
  </si>
  <si>
    <t>patch_transition_water_moisture</t>
  </si>
  <si>
    <t>smax_AA</t>
  </si>
  <si>
    <t>Diffusion paramenter for exchanges between cortex symplasm and soil solution</t>
  </si>
  <si>
    <t>g.s-1.m-2</t>
  </si>
  <si>
    <t>Diffusion paramenter for exchanges between phloem symplasm and cortex symplasm</t>
  </si>
  <si>
    <t>Diffusion paramenter for exchanges between xylem apoplasm and cortex symplasm</t>
  </si>
  <si>
    <t>g.s-1.m-3</t>
  </si>
  <si>
    <t>Vmax parameter for mineral nitrogen xylem loading</t>
  </si>
  <si>
    <t>mol.s-1.m-2</t>
  </si>
  <si>
    <t>ratio of water volume relative to segment volume. In principle &lt;1, but can be increased to prevent too harsh pressure and water content drop</t>
  </si>
  <si>
    <t>water moisture in a located patch in soil</t>
  </si>
  <si>
    <t>Depth of a water moisture patch in soil</t>
  </si>
  <si>
    <t>Width of the zone of the patch with uniform water moisture</t>
  </si>
  <si>
    <t>Variance of the normal law smooting the boundary transition of a moisture patch with the background concentration</t>
  </si>
  <si>
    <t>Maximal rate of amino acid synthesis in the root segment</t>
  </si>
  <si>
    <t>dissolved_mineral_N</t>
  </si>
  <si>
    <t>Intitialization soil nitrate content</t>
  </si>
  <si>
    <t>g.g-1</t>
  </si>
  <si>
    <t>soil_moisture</t>
  </si>
  <si>
    <t>initialization soil water content</t>
  </si>
  <si>
    <t>m3.m-3</t>
  </si>
  <si>
    <t>dissolved_mineral_N_patch</t>
  </si>
  <si>
    <t>Drew_low</t>
  </si>
  <si>
    <t>Drew_patch</t>
  </si>
  <si>
    <t>DOC</t>
  </si>
  <si>
    <t>DON</t>
  </si>
  <si>
    <t>RC_ref</t>
  </si>
  <si>
    <t>vmax_unloading_AA_phloem</t>
  </si>
  <si>
    <t>previous</t>
  </si>
  <si>
    <t>km_unloading_AA_phloem</t>
  </si>
  <si>
    <t>Affinity parameter for amino acid loading into symplasm from phloem</t>
  </si>
  <si>
    <t>sucrose_input_Swinnen_et_al_1994_interpolated.csv</t>
  </si>
  <si>
    <t>max_loading_rate</t>
  </si>
  <si>
    <t>RC_no_deficit</t>
  </si>
  <si>
    <t>Rhizodep_ref</t>
  </si>
  <si>
    <t>sucrose_input_Swinnen_et_al_1994_20degrees_interpolated.csv</t>
  </si>
  <si>
    <t>equal</t>
  </si>
  <si>
    <t>Km_Nm_xylem</t>
  </si>
  <si>
    <t>Km parameter for mineral nitrogen xylem loading</t>
  </si>
  <si>
    <t>vmax_AA_xylem</t>
  </si>
  <si>
    <t>Vmax parameter for amino acids xylem loading</t>
  </si>
  <si>
    <t>cmax_AA</t>
  </si>
  <si>
    <t>Maximal rate of amino acid catabolism in the root segment</t>
  </si>
  <si>
    <t>RC_ref_no_N_deficit (25_03_30)</t>
  </si>
  <si>
    <t>RC_no_hair</t>
  </si>
  <si>
    <t>endodermis_max</t>
  </si>
  <si>
    <t>endodermis_delay</t>
  </si>
  <si>
    <t>endodermis_rate</t>
  </si>
  <si>
    <t>exodermis_max</t>
  </si>
  <si>
    <t>exodermis_delay</t>
  </si>
  <si>
    <t>exodermis_rate</t>
  </si>
  <si>
    <t>xylem_max</t>
  </si>
  <si>
    <t>xylem_delay</t>
  </si>
  <si>
    <t>xylem_rate</t>
  </si>
  <si>
    <t>Gompertz parameter c for xylem - slope of the significant increase in axial conductance due to xylem apoptose</t>
  </si>
  <si>
    <t>Gompertz parameter b for xylem - period since cells formation before the significant increase in relative resistance due to xylem apoptose</t>
  </si>
  <si>
    <t>Maximal relative resistance (%) of xylem to apoplastic transport (100% = no apoplastic transport)</t>
  </si>
  <si>
    <t>RC_ref_5</t>
  </si>
  <si>
    <t>RC_ref_1</t>
  </si>
  <si>
    <t>RC_ref_0.05</t>
  </si>
  <si>
    <t>RC_ref_0.01</t>
  </si>
  <si>
    <t>RC_ref_0.5</t>
  </si>
  <si>
    <t>RC_ref_50</t>
  </si>
  <si>
    <t>RC_ref_0.1</t>
  </si>
  <si>
    <t>RC_ref_big_lats</t>
  </si>
  <si>
    <t>RB_ref</t>
  </si>
  <si>
    <t>soil_model</t>
  </si>
  <si>
    <t>soil</t>
  </si>
  <si>
    <t>root00604.pckl</t>
  </si>
  <si>
    <t>RC_ref_w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</si>
</sst>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E+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1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4" borderId="10" xfId="0" applyFill="1" applyBorder="1"/>
    <xf numFmtId="0" fontId="18" fillId="44" borderId="10" xfId="0" applyFont="1" applyFill="1" applyBorder="1"/>
    <xf numFmtId="0" fontId="0" fillId="44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6" borderId="10" xfId="0" applyFont="1" applyFill="1" applyBorder="1"/>
    <xf numFmtId="0" fontId="0" fillId="36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8" fillId="41" borderId="10" xfId="0" applyFont="1" applyFill="1" applyBorder="1"/>
    <xf numFmtId="0" fontId="0" fillId="41" borderId="10" xfId="0" applyFill="1" applyBorder="1"/>
    <xf numFmtId="0" fontId="18" fillId="42" borderId="10" xfId="0" applyFont="1" applyFill="1" applyBorder="1"/>
    <xf numFmtId="0" fontId="0" fillId="42" borderId="10" xfId="0" applyFill="1" applyBorder="1"/>
    <xf numFmtId="0" fontId="18" fillId="45" borderId="10" xfId="0" applyFont="1" applyFill="1" applyBorder="1"/>
    <xf numFmtId="0" fontId="0" fillId="45" borderId="10" xfId="0" applyFill="1" applyBorder="1"/>
    <xf numFmtId="0" fontId="18" fillId="39" borderId="10" xfId="0" applyFont="1" applyFill="1" applyBorder="1"/>
    <xf numFmtId="0" fontId="0" fillId="39" borderId="10" xfId="0" applyFill="1" applyBorder="1"/>
    <xf numFmtId="0" fontId="18" fillId="43" borderId="10" xfId="0" applyFont="1" applyFill="1" applyBorder="1"/>
    <xf numFmtId="0" fontId="0" fillId="43" borderId="10" xfId="0" applyFill="1" applyBorder="1"/>
    <xf numFmtId="0" fontId="18" fillId="35" borderId="10" xfId="0" applyFont="1" applyFill="1" applyBorder="1"/>
    <xf numFmtId="0" fontId="0" fillId="35" borderId="10" xfId="0" applyFill="1" applyBorder="1"/>
    <xf numFmtId="0" fontId="18" fillId="47" borderId="10" xfId="0" applyFont="1" applyFill="1" applyBorder="1"/>
    <xf numFmtId="0" fontId="0" fillId="47" borderId="10" xfId="0" applyFill="1" applyBorder="1"/>
    <xf numFmtId="0" fontId="18" fillId="46" borderId="10" xfId="0" applyFont="1" applyFill="1" applyBorder="1"/>
    <xf numFmtId="0" fontId="0" fillId="46" borderId="10" xfId="0" applyFill="1" applyBorder="1"/>
    <xf numFmtId="0" fontId="18" fillId="48" borderId="10" xfId="0" applyFont="1" applyFill="1" applyBorder="1"/>
    <xf numFmtId="0" fontId="0" fillId="48" borderId="10" xfId="0" applyFill="1" applyBorder="1"/>
    <xf numFmtId="0" fontId="18" fillId="49" borderId="10" xfId="0" applyFont="1" applyFill="1" applyBorder="1"/>
    <xf numFmtId="0" fontId="0" fillId="49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0" fillId="34" borderId="10" xfId="0" applyNumberFormat="1" applyFill="1" applyBorder="1" applyAlignment="1">
      <alignment horizontal="left"/>
    </xf>
    <xf numFmtId="165" fontId="0" fillId="44" borderId="10" xfId="0" applyNumberFormat="1" applyFill="1" applyBorder="1" applyAlignment="1">
      <alignment horizontal="left"/>
    </xf>
    <xf numFmtId="165" fontId="0" fillId="33" borderId="10" xfId="0" applyNumberFormat="1" applyFill="1" applyBorder="1" applyAlignment="1">
      <alignment horizontal="left"/>
    </xf>
    <xf numFmtId="165" fontId="0" fillId="37" borderId="10" xfId="0" applyNumberFormat="1" applyFill="1" applyBorder="1" applyAlignment="1">
      <alignment horizontal="left"/>
    </xf>
    <xf numFmtId="165" fontId="0" fillId="38" borderId="10" xfId="0" applyNumberFormat="1" applyFill="1" applyBorder="1" applyAlignment="1">
      <alignment horizontal="left"/>
    </xf>
    <xf numFmtId="165" fontId="0" fillId="36" borderId="10" xfId="0" applyNumberFormat="1" applyFill="1" applyBorder="1" applyAlignment="1">
      <alignment horizontal="left"/>
    </xf>
    <xf numFmtId="165" fontId="0" fillId="41" borderId="10" xfId="0" applyNumberFormat="1" applyFill="1" applyBorder="1" applyAlignment="1">
      <alignment horizontal="left"/>
    </xf>
    <xf numFmtId="165" fontId="0" fillId="42" borderId="10" xfId="0" applyNumberFormat="1" applyFill="1" applyBorder="1" applyAlignment="1">
      <alignment horizontal="left"/>
    </xf>
    <xf numFmtId="165" fontId="0" fillId="43" borderId="10" xfId="0" applyNumberFormat="1" applyFill="1" applyBorder="1" applyAlignment="1">
      <alignment horizontal="left"/>
    </xf>
    <xf numFmtId="165" fontId="0" fillId="48" borderId="10" xfId="0" applyNumberFormat="1" applyFill="1" applyBorder="1" applyAlignment="1">
      <alignment horizontal="left"/>
    </xf>
    <xf numFmtId="165" fontId="0" fillId="47" borderId="10" xfId="0" applyNumberFormat="1" applyFill="1" applyBorder="1" applyAlignment="1">
      <alignment horizontal="left"/>
    </xf>
    <xf numFmtId="165" fontId="0" fillId="46" borderId="10" xfId="0" applyNumberFormat="1" applyFill="1" applyBorder="1" applyAlignment="1">
      <alignment horizontal="left"/>
    </xf>
    <xf numFmtId="0" fontId="0" fillId="38" borderId="10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7" borderId="10" xfId="0" applyFill="1" applyBorder="1" applyAlignment="1">
      <alignment horizontal="left"/>
    </xf>
    <xf numFmtId="0" fontId="0" fillId="44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0" fontId="0" fillId="41" borderId="10" xfId="0" applyFill="1" applyBorder="1" applyAlignment="1">
      <alignment horizontal="left"/>
    </xf>
    <xf numFmtId="0" fontId="0" fillId="39" borderId="10" xfId="0" applyFill="1" applyBorder="1" applyAlignment="1">
      <alignment horizontal="left"/>
    </xf>
    <xf numFmtId="0" fontId="0" fillId="43" borderId="10" xfId="0" applyFill="1" applyBorder="1" applyAlignment="1">
      <alignment horizontal="left"/>
    </xf>
    <xf numFmtId="0" fontId="0" fillId="42" borderId="10" xfId="0" applyFill="1" applyBorder="1" applyAlignment="1">
      <alignment horizontal="left"/>
    </xf>
    <xf numFmtId="0" fontId="0" fillId="49" borderId="10" xfId="0" applyFill="1" applyBorder="1" applyAlignment="1">
      <alignment horizontal="left"/>
    </xf>
    <xf numFmtId="0" fontId="0" fillId="45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48" borderId="10" xfId="0" applyFill="1" applyBorder="1" applyAlignment="1">
      <alignment horizontal="left"/>
    </xf>
    <xf numFmtId="0" fontId="0" fillId="47" borderId="10" xfId="0" applyFill="1" applyBorder="1" applyAlignment="1">
      <alignment horizontal="left"/>
    </xf>
    <xf numFmtId="0" fontId="0" fillId="46" borderId="10" xfId="0" applyFill="1" applyBorder="1" applyAlignment="1">
      <alignment horizontal="left"/>
    </xf>
    <xf numFmtId="11" fontId="0" fillId="39" borderId="10" xfId="0" applyNumberFormat="1" applyFill="1" applyBorder="1" applyAlignment="1">
      <alignment horizontal="left"/>
    </xf>
    <xf numFmtId="0" fontId="0" fillId="43" borderId="10" xfId="0" applyFill="1" applyBorder="1" applyAlignment="1">
      <alignment horizontal="left" vertical="top"/>
    </xf>
    <xf numFmtId="0" fontId="18" fillId="50" borderId="10" xfId="0" applyFont="1" applyFill="1" applyBorder="1"/>
    <xf numFmtId="0" fontId="0" fillId="50" borderId="10" xfId="0" applyFill="1" applyBorder="1"/>
    <xf numFmtId="0" fontId="0" fillId="50" borderId="10" xfId="0" applyFill="1" applyBorder="1" applyAlignment="1">
      <alignment horizontal="left"/>
    </xf>
    <xf numFmtId="165" fontId="0" fillId="50" borderId="10" xfId="0" applyNumberFormat="1" applyFill="1" applyBorder="1" applyAlignment="1">
      <alignment horizontal="left"/>
    </xf>
    <xf numFmtId="11" fontId="18" fillId="39" borderId="10" xfId="0" applyNumberFormat="1" applyFont="1" applyFill="1" applyBorder="1"/>
    <xf numFmtId="11" fontId="0" fillId="39" borderId="10" xfId="0" applyNumberFormat="1" applyFill="1" applyBorder="1"/>
    <xf numFmtId="0" fontId="18" fillId="53" borderId="10" xfId="0" applyFont="1" applyFill="1" applyBorder="1"/>
    <xf numFmtId="0" fontId="0" fillId="53" borderId="10" xfId="0" applyFill="1" applyBorder="1"/>
    <xf numFmtId="0" fontId="0" fillId="53" borderId="10" xfId="0" applyFill="1" applyBorder="1" applyAlignment="1">
      <alignment horizontal="left"/>
    </xf>
    <xf numFmtId="0" fontId="16" fillId="0" borderId="10" xfId="0" applyFont="1" applyBorder="1" applyAlignment="1">
      <alignment horizontal="left" vertical="center"/>
    </xf>
    <xf numFmtId="164" fontId="16" fillId="0" borderId="10" xfId="0" applyNumberFormat="1" applyFont="1" applyBorder="1" applyAlignment="1">
      <alignment horizontal="left" vertical="center"/>
    </xf>
    <xf numFmtId="164" fontId="16" fillId="50" borderId="10" xfId="0" applyNumberFormat="1" applyFont="1" applyFill="1" applyBorder="1" applyAlignment="1">
      <alignment horizontal="left" vertical="center"/>
    </xf>
    <xf numFmtId="11" fontId="16" fillId="0" borderId="10" xfId="0" applyNumberFormat="1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1" fontId="16" fillId="0" borderId="10" xfId="0" applyNumberFormat="1" applyFont="1" applyBorder="1" applyAlignment="1">
      <alignment horizontal="left" vertical="center"/>
    </xf>
    <xf numFmtId="11" fontId="16" fillId="52" borderId="10" xfId="0" applyNumberFormat="1" applyFont="1" applyFill="1" applyBorder="1" applyAlignment="1">
      <alignment horizontal="left" vertical="center"/>
    </xf>
    <xf numFmtId="11" fontId="16" fillId="51" borderId="10" xfId="0" applyNumberFormat="1" applyFont="1" applyFill="1" applyBorder="1" applyAlignment="1">
      <alignment horizontal="left" vertical="center"/>
    </xf>
    <xf numFmtId="0" fontId="16" fillId="50" borderId="10" xfId="0" applyFont="1" applyFill="1" applyBorder="1" applyAlignment="1">
      <alignment horizontal="left" vertical="center"/>
    </xf>
    <xf numFmtId="11" fontId="16" fillId="50" borderId="10" xfId="0" applyNumberFormat="1" applyFont="1" applyFill="1" applyBorder="1" applyAlignment="1">
      <alignment horizontal="left" vertical="center"/>
    </xf>
    <xf numFmtId="2" fontId="16" fillId="50" borderId="10" xfId="0" applyNumberFormat="1" applyFont="1" applyFill="1" applyBorder="1" applyAlignment="1">
      <alignment horizontal="left" vertical="center"/>
    </xf>
    <xf numFmtId="1" fontId="16" fillId="50" borderId="10" xfId="0" applyNumberFormat="1" applyFont="1" applyFill="1" applyBorder="1" applyAlignment="1">
      <alignment horizontal="left" vertical="center"/>
    </xf>
    <xf numFmtId="165" fontId="16" fillId="51" borderId="10" xfId="0" applyNumberFormat="1" applyFont="1" applyFill="1" applyBorder="1"/>
    <xf numFmtId="0" fontId="18" fillId="40" borderId="11" xfId="0" applyFont="1" applyFill="1" applyBorder="1"/>
    <xf numFmtId="0" fontId="18" fillId="34" borderId="11" xfId="0" applyFont="1" applyFill="1" applyBorder="1"/>
    <xf numFmtId="0" fontId="16" fillId="0" borderId="11" xfId="0" applyFont="1" applyBorder="1"/>
    <xf numFmtId="0" fontId="0" fillId="40" borderId="11" xfId="0" applyFill="1" applyBorder="1"/>
    <xf numFmtId="0" fontId="0" fillId="40" borderId="11" xfId="0" applyFill="1" applyBorder="1" applyAlignment="1">
      <alignment horizontal="left"/>
    </xf>
    <xf numFmtId="11" fontId="16" fillId="0" borderId="11" xfId="0" applyNumberFormat="1" applyFont="1" applyBorder="1" applyAlignment="1">
      <alignment horizontal="left" vertical="center"/>
    </xf>
    <xf numFmtId="0" fontId="0" fillId="0" borderId="10" xfId="0" applyBorder="1"/>
    <xf numFmtId="0" fontId="16" fillId="0" borderId="0" xfId="0" applyFont="1" applyAlignment="1">
      <alignment horizontal="left" vertical="center" wrapText="1"/>
    </xf>
    <xf numFmtId="11" fontId="0" fillId="0" borderId="10" xfId="0" applyNumberFormat="1" applyBorder="1" applyAlignment="1">
      <alignment horizontal="left"/>
    </xf>
    <xf numFmtId="11" fontId="16" fillId="0" borderId="10" xfId="0" applyNumberFormat="1" applyFont="1" applyBorder="1"/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6"/>
  <sheetViews>
    <sheetView tabSelected="1" zoomScale="89" workbookViewId="0">
      <pane xSplit="1" ySplit="1" topLeftCell="J199" activePane="bottomRight" state="frozen"/>
      <selection pane="topRight" activeCell="B1" sqref="B1"/>
      <selection pane="bottomLeft" activeCell="A2" sqref="A2"/>
      <selection pane="bottomRight" activeCell="A222" sqref="A222"/>
    </sheetView>
  </sheetViews>
  <sheetFormatPr defaultColWidth="11.42578125" defaultRowHeight="15" x14ac:dyDescent="0.25"/>
  <cols>
    <col min="1" max="1" width="32.7109375" style="1" customWidth="1"/>
    <col min="2" max="4" width="15" style="1" customWidth="1"/>
    <col min="5" max="5" width="23.28515625" customWidth="1"/>
    <col min="6" max="6" width="22.7109375" customWidth="1"/>
    <col min="7" max="7" width="19.5703125" style="37" customWidth="1"/>
    <col min="8" max="11" width="39.85546875" style="1" customWidth="1"/>
    <col min="12" max="12" width="14.28515625" style="1" customWidth="1"/>
    <col min="13" max="23" width="39.85546875" style="1" customWidth="1"/>
    <col min="24" max="24" width="14.85546875" style="1" customWidth="1"/>
    <col min="25" max="32" width="39.85546875" style="1" customWidth="1"/>
  </cols>
  <sheetData>
    <row r="1" spans="1:32" s="1" customFormat="1" x14ac:dyDescent="0.25">
      <c r="A1" s="2" t="s">
        <v>466</v>
      </c>
      <c r="B1" s="2" t="s">
        <v>467</v>
      </c>
      <c r="C1" s="2" t="s">
        <v>480</v>
      </c>
      <c r="D1" s="2" t="s">
        <v>482</v>
      </c>
      <c r="E1" s="2" t="s">
        <v>113</v>
      </c>
      <c r="F1" s="2" t="s">
        <v>93</v>
      </c>
      <c r="G1" s="35" t="s">
        <v>379</v>
      </c>
      <c r="H1" s="36" t="s">
        <v>490</v>
      </c>
      <c r="I1" s="97" t="s">
        <v>555</v>
      </c>
      <c r="J1" s="97" t="s">
        <v>556</v>
      </c>
      <c r="K1" s="97" t="s">
        <v>566</v>
      </c>
      <c r="L1" s="97"/>
      <c r="M1" s="97" t="s">
        <v>559</v>
      </c>
      <c r="N1" s="97" t="s">
        <v>602</v>
      </c>
      <c r="O1" s="97" t="s">
        <v>598</v>
      </c>
      <c r="P1" s="97" t="s">
        <v>596</v>
      </c>
      <c r="Q1" s="97" t="s">
        <v>593</v>
      </c>
      <c r="R1" s="97" t="s">
        <v>592</v>
      </c>
      <c r="S1" s="97" t="s">
        <v>594</v>
      </c>
      <c r="T1" s="97" t="s">
        <v>590</v>
      </c>
      <c r="U1" s="97" t="s">
        <v>595</v>
      </c>
      <c r="V1" s="97" t="s">
        <v>591</v>
      </c>
      <c r="W1" s="97" t="s">
        <v>590</v>
      </c>
      <c r="X1" s="97"/>
      <c r="Y1" s="97" t="s">
        <v>597</v>
      </c>
      <c r="Z1" s="97" t="s">
        <v>577</v>
      </c>
      <c r="AA1" s="97" t="s">
        <v>576</v>
      </c>
      <c r="AB1" s="97" t="s">
        <v>567</v>
      </c>
      <c r="AC1" s="1" t="s">
        <v>561</v>
      </c>
      <c r="AD1" s="1" t="s">
        <v>569</v>
      </c>
      <c r="AE1" s="97" t="s">
        <v>513</v>
      </c>
      <c r="AF1" s="97" t="s">
        <v>514</v>
      </c>
    </row>
    <row r="2" spans="1:32" s="1" customFormat="1" x14ac:dyDescent="0.25">
      <c r="A2" s="2" t="s">
        <v>515</v>
      </c>
      <c r="B2" s="2" t="s">
        <v>516</v>
      </c>
      <c r="C2" s="2" t="s">
        <v>481</v>
      </c>
      <c r="D2" s="2" t="s">
        <v>523</v>
      </c>
      <c r="E2" s="96" t="s">
        <v>517</v>
      </c>
      <c r="F2" s="96" t="s">
        <v>518</v>
      </c>
      <c r="G2" s="35" t="s">
        <v>519</v>
      </c>
      <c r="H2" s="36" t="s">
        <v>473</v>
      </c>
      <c r="I2" s="36" t="s">
        <v>473</v>
      </c>
      <c r="J2" s="36" t="s">
        <v>473</v>
      </c>
      <c r="K2" s="36" t="s">
        <v>473</v>
      </c>
      <c r="L2" s="36"/>
      <c r="M2" s="36" t="s">
        <v>473</v>
      </c>
      <c r="N2" s="36" t="s">
        <v>601</v>
      </c>
      <c r="O2" s="36" t="s">
        <v>473</v>
      </c>
      <c r="P2" s="36" t="s">
        <v>473</v>
      </c>
      <c r="Q2" s="36" t="s">
        <v>473</v>
      </c>
      <c r="R2" s="36" t="s">
        <v>473</v>
      </c>
      <c r="S2" s="36" t="s">
        <v>473</v>
      </c>
      <c r="T2" s="36" t="s">
        <v>473</v>
      </c>
      <c r="U2" s="36" t="s">
        <v>473</v>
      </c>
      <c r="V2" s="36" t="s">
        <v>473</v>
      </c>
      <c r="W2" s="36" t="s">
        <v>473</v>
      </c>
      <c r="X2" s="36"/>
      <c r="Y2" s="36" t="s">
        <v>473</v>
      </c>
      <c r="Z2" s="36" t="s">
        <v>473</v>
      </c>
      <c r="AA2" s="36" t="s">
        <v>473</v>
      </c>
      <c r="AB2" s="36" t="s">
        <v>473</v>
      </c>
      <c r="AD2" s="1" t="b">
        <f t="shared" ref="AD2:AD65" si="0">M2=AB2</f>
        <v>1</v>
      </c>
      <c r="AE2" s="36" t="s">
        <v>519</v>
      </c>
      <c r="AF2" s="36" t="s">
        <v>473</v>
      </c>
    </row>
    <row r="3" spans="1:32" s="1" customFormat="1" ht="38.450000000000003" customHeight="1" x14ac:dyDescent="0.25">
      <c r="A3" s="2" t="s">
        <v>469</v>
      </c>
      <c r="B3" s="2" t="s">
        <v>470</v>
      </c>
      <c r="C3" s="2" t="s">
        <v>481</v>
      </c>
      <c r="D3" s="2" t="s">
        <v>523</v>
      </c>
      <c r="E3" s="8" t="s">
        <v>474</v>
      </c>
      <c r="F3" s="8" t="s">
        <v>472</v>
      </c>
      <c r="G3" s="51" t="s">
        <v>86</v>
      </c>
      <c r="H3" s="36" t="s">
        <v>483</v>
      </c>
      <c r="I3" s="36" t="s">
        <v>483</v>
      </c>
      <c r="J3" s="36" t="s">
        <v>483</v>
      </c>
      <c r="K3" s="36" t="s">
        <v>564</v>
      </c>
      <c r="L3" s="36"/>
      <c r="M3" s="36" t="s">
        <v>568</v>
      </c>
      <c r="N3" s="36" t="s">
        <v>568</v>
      </c>
      <c r="O3" s="36" t="s">
        <v>568</v>
      </c>
      <c r="P3" s="36" t="s">
        <v>568</v>
      </c>
      <c r="Q3" s="36" t="s">
        <v>568</v>
      </c>
      <c r="R3" s="36" t="s">
        <v>568</v>
      </c>
      <c r="S3" s="36" t="s">
        <v>568</v>
      </c>
      <c r="T3" s="36" t="s">
        <v>568</v>
      </c>
      <c r="U3" s="36" t="s">
        <v>568</v>
      </c>
      <c r="V3" s="36" t="s">
        <v>568</v>
      </c>
      <c r="W3" s="36" t="s">
        <v>568</v>
      </c>
      <c r="X3" s="36"/>
      <c r="Y3" s="36" t="s">
        <v>568</v>
      </c>
      <c r="Z3" s="36" t="s">
        <v>568</v>
      </c>
      <c r="AA3" s="36" t="s">
        <v>568</v>
      </c>
      <c r="AB3" s="36" t="s">
        <v>568</v>
      </c>
      <c r="AD3" s="1" t="b">
        <f t="shared" si="0"/>
        <v>1</v>
      </c>
      <c r="AE3" s="36" t="s">
        <v>483</v>
      </c>
      <c r="AF3" s="36" t="s">
        <v>483</v>
      </c>
    </row>
    <row r="4" spans="1:32" s="1" customFormat="1" ht="15" customHeight="1" x14ac:dyDescent="0.25">
      <c r="A4" s="2" t="s">
        <v>478</v>
      </c>
      <c r="B4" s="2" t="s">
        <v>470</v>
      </c>
      <c r="C4" s="2" t="s">
        <v>481</v>
      </c>
      <c r="D4" s="2" t="s">
        <v>523</v>
      </c>
      <c r="E4" s="8" t="s">
        <v>471</v>
      </c>
      <c r="F4" s="8" t="s">
        <v>475</v>
      </c>
      <c r="G4" s="51" t="s">
        <v>477</v>
      </c>
      <c r="H4" s="36" t="s">
        <v>477</v>
      </c>
      <c r="I4" s="36" t="s">
        <v>477</v>
      </c>
      <c r="J4" s="36" t="s">
        <v>477</v>
      </c>
      <c r="K4" s="36" t="s">
        <v>477</v>
      </c>
      <c r="L4" s="36"/>
      <c r="M4" s="36" t="s">
        <v>477</v>
      </c>
      <c r="N4" s="36" t="s">
        <v>477</v>
      </c>
      <c r="O4" s="36" t="s">
        <v>477</v>
      </c>
      <c r="P4" s="36" t="s">
        <v>477</v>
      </c>
      <c r="Q4" s="36" t="s">
        <v>477</v>
      </c>
      <c r="R4" s="36" t="s">
        <v>477</v>
      </c>
      <c r="S4" s="36" t="s">
        <v>477</v>
      </c>
      <c r="T4" s="36" t="s">
        <v>477</v>
      </c>
      <c r="U4" s="36" t="s">
        <v>477</v>
      </c>
      <c r="V4" s="36" t="s">
        <v>477</v>
      </c>
      <c r="W4" s="36" t="s">
        <v>477</v>
      </c>
      <c r="X4" s="36"/>
      <c r="Y4" s="36" t="s">
        <v>477</v>
      </c>
      <c r="Z4" s="36" t="s">
        <v>477</v>
      </c>
      <c r="AA4" s="36" t="s">
        <v>477</v>
      </c>
      <c r="AB4" s="36" t="s">
        <v>477</v>
      </c>
      <c r="AD4" s="1" t="b">
        <f t="shared" si="0"/>
        <v>1</v>
      </c>
      <c r="AE4" s="36" t="s">
        <v>477</v>
      </c>
      <c r="AF4" s="36" t="s">
        <v>477</v>
      </c>
    </row>
    <row r="5" spans="1:32" s="1" customFormat="1" ht="39.6" customHeight="1" x14ac:dyDescent="0.25">
      <c r="A5" s="2" t="s">
        <v>484</v>
      </c>
      <c r="B5" s="2" t="s">
        <v>470</v>
      </c>
      <c r="C5" s="2" t="s">
        <v>599</v>
      </c>
      <c r="D5" s="2" t="s">
        <v>600</v>
      </c>
      <c r="E5" s="8" t="s">
        <v>485</v>
      </c>
      <c r="F5" s="8" t="s">
        <v>486</v>
      </c>
      <c r="G5" s="51" t="s">
        <v>487</v>
      </c>
      <c r="H5" s="36" t="s">
        <v>488</v>
      </c>
      <c r="I5" s="36" t="s">
        <v>512</v>
      </c>
      <c r="J5" s="36" t="s">
        <v>512</v>
      </c>
      <c r="K5" s="36" t="s">
        <v>564</v>
      </c>
      <c r="L5" s="36"/>
      <c r="M5" s="36" t="s">
        <v>568</v>
      </c>
      <c r="N5" s="36" t="s">
        <v>568</v>
      </c>
      <c r="O5" s="36" t="s">
        <v>568</v>
      </c>
      <c r="P5" s="36" t="s">
        <v>568</v>
      </c>
      <c r="Q5" s="36" t="s">
        <v>568</v>
      </c>
      <c r="R5" s="36" t="s">
        <v>568</v>
      </c>
      <c r="S5" s="36" t="s">
        <v>568</v>
      </c>
      <c r="T5" s="36" t="s">
        <v>568</v>
      </c>
      <c r="U5" s="36" t="s">
        <v>568</v>
      </c>
      <c r="V5" s="36" t="s">
        <v>568</v>
      </c>
      <c r="W5" s="36" t="s">
        <v>568</v>
      </c>
      <c r="X5" s="36"/>
      <c r="Y5" s="36" t="s">
        <v>568</v>
      </c>
      <c r="Z5" s="36" t="s">
        <v>568</v>
      </c>
      <c r="AA5" s="36" t="s">
        <v>568</v>
      </c>
      <c r="AB5" s="36" t="s">
        <v>568</v>
      </c>
      <c r="AD5" s="1" t="b">
        <f t="shared" si="0"/>
        <v>1</v>
      </c>
      <c r="AE5" s="36" t="s">
        <v>512</v>
      </c>
      <c r="AF5" s="36" t="s">
        <v>512</v>
      </c>
    </row>
    <row r="6" spans="1:32" s="1" customFormat="1" ht="15" customHeight="1" x14ac:dyDescent="0.25">
      <c r="A6" s="2" t="s">
        <v>479</v>
      </c>
      <c r="B6" s="2" t="s">
        <v>470</v>
      </c>
      <c r="C6" s="2" t="s">
        <v>481</v>
      </c>
      <c r="D6" s="2" t="s">
        <v>523</v>
      </c>
      <c r="E6" s="8" t="s">
        <v>476</v>
      </c>
      <c r="F6" s="8" t="s">
        <v>472</v>
      </c>
      <c r="G6" s="51" t="s">
        <v>477</v>
      </c>
      <c r="H6" s="36" t="s">
        <v>488</v>
      </c>
      <c r="I6" s="36" t="s">
        <v>488</v>
      </c>
      <c r="J6" s="36" t="s">
        <v>488</v>
      </c>
      <c r="K6" s="36" t="s">
        <v>488</v>
      </c>
      <c r="L6" s="36"/>
      <c r="M6" s="36" t="s">
        <v>488</v>
      </c>
      <c r="N6" s="36" t="s">
        <v>488</v>
      </c>
      <c r="O6" s="36" t="s">
        <v>488</v>
      </c>
      <c r="P6" s="36" t="s">
        <v>488</v>
      </c>
      <c r="Q6" s="36" t="s">
        <v>488</v>
      </c>
      <c r="R6" s="36" t="s">
        <v>488</v>
      </c>
      <c r="S6" s="36" t="s">
        <v>488</v>
      </c>
      <c r="T6" s="36" t="s">
        <v>488</v>
      </c>
      <c r="U6" s="36" t="s">
        <v>488</v>
      </c>
      <c r="V6" s="36" t="s">
        <v>488</v>
      </c>
      <c r="W6" s="36" t="s">
        <v>488</v>
      </c>
      <c r="X6" s="36"/>
      <c r="Y6" s="36" t="s">
        <v>488</v>
      </c>
      <c r="Z6" s="36" t="s">
        <v>488</v>
      </c>
      <c r="AA6" s="36" t="s">
        <v>488</v>
      </c>
      <c r="AB6" s="36" t="s">
        <v>488</v>
      </c>
      <c r="AD6" s="1" t="b">
        <f t="shared" si="0"/>
        <v>1</v>
      </c>
      <c r="AE6" s="36" t="s">
        <v>488</v>
      </c>
      <c r="AF6" s="36" t="s">
        <v>488</v>
      </c>
    </row>
    <row r="7" spans="1:32" s="1" customFormat="1" ht="15" customHeight="1" x14ac:dyDescent="0.25">
      <c r="A7" s="2" t="s">
        <v>520</v>
      </c>
      <c r="B7" s="2" t="s">
        <v>468</v>
      </c>
      <c r="C7" s="2" t="s">
        <v>481</v>
      </c>
      <c r="D7" s="2" t="s">
        <v>523</v>
      </c>
      <c r="E7" s="8" t="s">
        <v>521</v>
      </c>
      <c r="F7" s="8" t="s">
        <v>522</v>
      </c>
      <c r="G7" s="51">
        <v>0</v>
      </c>
      <c r="H7" s="36">
        <v>0</v>
      </c>
      <c r="I7" s="36">
        <v>0</v>
      </c>
      <c r="J7" s="36">
        <v>0</v>
      </c>
      <c r="K7" s="36">
        <v>0</v>
      </c>
      <c r="L7" s="36"/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0</v>
      </c>
      <c r="W7" s="36">
        <v>0</v>
      </c>
      <c r="X7" s="36"/>
      <c r="Y7" s="36">
        <v>0</v>
      </c>
      <c r="Z7" s="36">
        <v>0</v>
      </c>
      <c r="AA7" s="36">
        <v>0</v>
      </c>
      <c r="AB7" s="36">
        <v>0</v>
      </c>
      <c r="AD7" s="1" t="b">
        <f t="shared" si="0"/>
        <v>1</v>
      </c>
      <c r="AE7" s="36">
        <v>0</v>
      </c>
      <c r="AF7" s="36">
        <v>0</v>
      </c>
    </row>
    <row r="8" spans="1:32" x14ac:dyDescent="0.25">
      <c r="A8" s="3" t="s">
        <v>2</v>
      </c>
      <c r="B8" s="3" t="s">
        <v>468</v>
      </c>
      <c r="C8" s="2" t="s">
        <v>481</v>
      </c>
      <c r="D8" s="2" t="s">
        <v>523</v>
      </c>
      <c r="E8" s="4" t="s">
        <v>130</v>
      </c>
      <c r="F8" s="4" t="s">
        <v>95</v>
      </c>
      <c r="G8" s="38" t="s">
        <v>87</v>
      </c>
      <c r="H8" s="77" t="s">
        <v>87</v>
      </c>
      <c r="I8" s="77" t="s">
        <v>87</v>
      </c>
      <c r="J8" s="77" t="s">
        <v>87</v>
      </c>
      <c r="K8" s="77" t="s">
        <v>87</v>
      </c>
      <c r="L8" s="77"/>
      <c r="M8" s="77" t="s">
        <v>87</v>
      </c>
      <c r="N8" s="77" t="s">
        <v>87</v>
      </c>
      <c r="O8" s="77" t="s">
        <v>87</v>
      </c>
      <c r="P8" s="77" t="s">
        <v>87</v>
      </c>
      <c r="Q8" s="77" t="s">
        <v>87</v>
      </c>
      <c r="R8" s="77" t="s">
        <v>87</v>
      </c>
      <c r="S8" s="77" t="s">
        <v>87</v>
      </c>
      <c r="T8" s="77" t="s">
        <v>87</v>
      </c>
      <c r="U8" s="77" t="s">
        <v>87</v>
      </c>
      <c r="V8" s="77" t="s">
        <v>87</v>
      </c>
      <c r="W8" s="77" t="s">
        <v>87</v>
      </c>
      <c r="X8" s="77"/>
      <c r="Y8" s="77" t="s">
        <v>87</v>
      </c>
      <c r="Z8" s="77" t="s">
        <v>87</v>
      </c>
      <c r="AA8" s="77" t="s">
        <v>87</v>
      </c>
      <c r="AB8" s="77" t="s">
        <v>87</v>
      </c>
      <c r="AD8" s="1" t="b">
        <f t="shared" si="0"/>
        <v>1</v>
      </c>
      <c r="AE8" s="77" t="s">
        <v>87</v>
      </c>
      <c r="AF8" s="77" t="s">
        <v>87</v>
      </c>
    </row>
    <row r="9" spans="1:32" x14ac:dyDescent="0.25">
      <c r="A9" s="3" t="s">
        <v>3</v>
      </c>
      <c r="B9" s="3" t="s">
        <v>468</v>
      </c>
      <c r="C9" s="2" t="s">
        <v>481</v>
      </c>
      <c r="D9" s="2" t="s">
        <v>523</v>
      </c>
      <c r="E9" s="4" t="s">
        <v>131</v>
      </c>
      <c r="F9" s="4" t="s">
        <v>96</v>
      </c>
      <c r="G9" s="54">
        <v>1</v>
      </c>
      <c r="H9" s="77">
        <v>1</v>
      </c>
      <c r="I9" s="77">
        <v>1</v>
      </c>
      <c r="J9" s="77">
        <v>1</v>
      </c>
      <c r="K9" s="77">
        <v>1</v>
      </c>
      <c r="L9" s="77"/>
      <c r="M9" s="77">
        <v>1</v>
      </c>
      <c r="N9" s="77">
        <v>1</v>
      </c>
      <c r="O9" s="77">
        <v>1</v>
      </c>
      <c r="P9" s="77">
        <v>1</v>
      </c>
      <c r="Q9" s="77">
        <v>1</v>
      </c>
      <c r="R9" s="77">
        <v>1</v>
      </c>
      <c r="S9" s="77">
        <v>1</v>
      </c>
      <c r="T9" s="77">
        <v>1</v>
      </c>
      <c r="U9" s="77">
        <v>1</v>
      </c>
      <c r="V9" s="77">
        <v>1</v>
      </c>
      <c r="W9" s="77">
        <v>1</v>
      </c>
      <c r="X9" s="77"/>
      <c r="Y9" s="77">
        <v>1</v>
      </c>
      <c r="Z9" s="77">
        <v>1</v>
      </c>
      <c r="AA9" s="77">
        <v>1</v>
      </c>
      <c r="AB9" s="77">
        <v>1</v>
      </c>
      <c r="AD9" s="1" t="b">
        <f t="shared" si="0"/>
        <v>1</v>
      </c>
      <c r="AE9" s="77">
        <v>1</v>
      </c>
      <c r="AF9" s="77">
        <v>1</v>
      </c>
    </row>
    <row r="10" spans="1:32" x14ac:dyDescent="0.25">
      <c r="A10" s="74" t="s">
        <v>441</v>
      </c>
      <c r="B10" s="3" t="s">
        <v>468</v>
      </c>
      <c r="C10" s="2" t="s">
        <v>481</v>
      </c>
      <c r="D10" s="2" t="s">
        <v>523</v>
      </c>
      <c r="E10" s="75" t="s">
        <v>442</v>
      </c>
      <c r="F10" s="75" t="s">
        <v>95</v>
      </c>
      <c r="G10" s="76" t="s">
        <v>88</v>
      </c>
      <c r="H10" s="77" t="s">
        <v>88</v>
      </c>
      <c r="I10" s="77" t="s">
        <v>88</v>
      </c>
      <c r="J10" s="77" t="s">
        <v>88</v>
      </c>
      <c r="K10" s="77" t="s">
        <v>88</v>
      </c>
      <c r="L10" s="77"/>
      <c r="M10" s="77" t="s">
        <v>88</v>
      </c>
      <c r="N10" s="77" t="s">
        <v>88</v>
      </c>
      <c r="O10" s="77" t="s">
        <v>88</v>
      </c>
      <c r="P10" s="77" t="s">
        <v>88</v>
      </c>
      <c r="Q10" s="77" t="s">
        <v>88</v>
      </c>
      <c r="R10" s="77" t="s">
        <v>88</v>
      </c>
      <c r="S10" s="77" t="s">
        <v>88</v>
      </c>
      <c r="T10" s="77" t="s">
        <v>88</v>
      </c>
      <c r="U10" s="77" t="s">
        <v>88</v>
      </c>
      <c r="V10" s="77" t="s">
        <v>88</v>
      </c>
      <c r="W10" s="77" t="s">
        <v>88</v>
      </c>
      <c r="X10" s="77"/>
      <c r="Y10" s="77" t="s">
        <v>88</v>
      </c>
      <c r="Z10" s="77" t="s">
        <v>88</v>
      </c>
      <c r="AA10" s="77" t="s">
        <v>88</v>
      </c>
      <c r="AB10" s="77" t="s">
        <v>88</v>
      </c>
      <c r="AD10" s="1" t="b">
        <f t="shared" si="0"/>
        <v>1</v>
      </c>
      <c r="AE10" s="77" t="s">
        <v>88</v>
      </c>
      <c r="AF10" s="77" t="s">
        <v>88</v>
      </c>
    </row>
    <row r="11" spans="1:32" x14ac:dyDescent="0.25">
      <c r="A11" s="5" t="s">
        <v>4</v>
      </c>
      <c r="B11" s="3" t="s">
        <v>468</v>
      </c>
      <c r="C11" s="2" t="s">
        <v>481</v>
      </c>
      <c r="D11" s="2" t="s">
        <v>523</v>
      </c>
      <c r="E11" s="6" t="s">
        <v>115</v>
      </c>
      <c r="F11" s="6" t="s">
        <v>94</v>
      </c>
      <c r="G11" s="53">
        <v>60</v>
      </c>
      <c r="H11" s="85">
        <v>180</v>
      </c>
      <c r="I11" s="85">
        <v>180</v>
      </c>
      <c r="J11" s="85">
        <v>180</v>
      </c>
      <c r="K11" s="85">
        <v>180</v>
      </c>
      <c r="L11" s="85"/>
      <c r="M11" s="85">
        <v>180</v>
      </c>
      <c r="N11" s="85">
        <v>180</v>
      </c>
      <c r="O11" s="85">
        <v>180</v>
      </c>
      <c r="P11" s="85">
        <v>180</v>
      </c>
      <c r="Q11" s="85">
        <v>180</v>
      </c>
      <c r="R11" s="85">
        <v>180</v>
      </c>
      <c r="S11" s="85">
        <v>180</v>
      </c>
      <c r="T11" s="85">
        <v>180</v>
      </c>
      <c r="U11" s="85">
        <v>180</v>
      </c>
      <c r="V11" s="85">
        <v>180</v>
      </c>
      <c r="W11" s="85">
        <v>180</v>
      </c>
      <c r="X11" s="85"/>
      <c r="Y11" s="85">
        <v>180</v>
      </c>
      <c r="Z11" s="85">
        <v>180</v>
      </c>
      <c r="AA11" s="85">
        <v>180</v>
      </c>
      <c r="AB11" s="85">
        <v>180</v>
      </c>
      <c r="AD11" s="1" t="b">
        <f t="shared" si="0"/>
        <v>1</v>
      </c>
      <c r="AE11" s="85">
        <v>180</v>
      </c>
      <c r="AF11" s="85">
        <v>180</v>
      </c>
    </row>
    <row r="12" spans="1:32" x14ac:dyDescent="0.25">
      <c r="A12" s="5" t="s">
        <v>5</v>
      </c>
      <c r="B12" s="3" t="s">
        <v>468</v>
      </c>
      <c r="C12" s="2" t="s">
        <v>481</v>
      </c>
      <c r="D12" s="2" t="s">
        <v>523</v>
      </c>
      <c r="E12" s="6" t="s">
        <v>116</v>
      </c>
      <c r="F12" s="6" t="s">
        <v>94</v>
      </c>
      <c r="G12" s="39">
        <v>4.1666666999999998E-2</v>
      </c>
      <c r="H12" s="78">
        <v>4.1666666999999998E-2</v>
      </c>
      <c r="I12" s="78">
        <v>4.1666666999999998E-2</v>
      </c>
      <c r="J12" s="78">
        <v>4.1666666999999998E-2</v>
      </c>
      <c r="K12" s="78">
        <v>4.1666666999999998E-2</v>
      </c>
      <c r="L12" s="78"/>
      <c r="M12" s="78">
        <v>4.1666666999999998E-2</v>
      </c>
      <c r="N12" s="78">
        <v>4.1666666999999998E-2</v>
      </c>
      <c r="O12" s="78">
        <v>4.1666666999999998E-2</v>
      </c>
      <c r="P12" s="78">
        <v>4.1666666999999998E-2</v>
      </c>
      <c r="Q12" s="78">
        <v>4.1666666999999998E-2</v>
      </c>
      <c r="R12" s="78">
        <v>4.1666666999999998E-2</v>
      </c>
      <c r="S12" s="78">
        <v>4.1666666999999998E-2</v>
      </c>
      <c r="T12" s="78">
        <v>4.1666666999999998E-2</v>
      </c>
      <c r="U12" s="78">
        <v>4.1666666999999998E-2</v>
      </c>
      <c r="V12" s="78">
        <v>4.1666666999999998E-2</v>
      </c>
      <c r="W12" s="78">
        <v>4.1666666999999998E-2</v>
      </c>
      <c r="X12" s="78"/>
      <c r="Y12" s="78">
        <v>4.1666666999999998E-2</v>
      </c>
      <c r="Z12" s="78">
        <v>4.1666666999999998E-2</v>
      </c>
      <c r="AA12" s="78">
        <v>4.1666666999999998E-2</v>
      </c>
      <c r="AB12" s="78">
        <v>4.1666666999999998E-2</v>
      </c>
      <c r="AD12" s="1" t="b">
        <f t="shared" si="0"/>
        <v>1</v>
      </c>
      <c r="AE12" s="78">
        <v>4.1666666999999998E-2</v>
      </c>
      <c r="AF12" s="78">
        <v>4.1666666999999998E-2</v>
      </c>
    </row>
    <row r="13" spans="1:32" x14ac:dyDescent="0.25">
      <c r="A13" s="5" t="s">
        <v>20</v>
      </c>
      <c r="B13" s="3" t="s">
        <v>468</v>
      </c>
      <c r="C13" s="2" t="s">
        <v>481</v>
      </c>
      <c r="D13" s="2" t="s">
        <v>523</v>
      </c>
      <c r="E13" s="6" t="s">
        <v>124</v>
      </c>
      <c r="F13" s="6" t="s">
        <v>94</v>
      </c>
      <c r="G13" s="53">
        <v>5</v>
      </c>
      <c r="H13" s="79">
        <v>4.1666666999999998E-2</v>
      </c>
      <c r="I13" s="79">
        <v>4.1666666999999998E-2</v>
      </c>
      <c r="J13" s="79">
        <v>4.1666666999999998E-2</v>
      </c>
      <c r="K13" s="79">
        <v>4.1666666999999998E-2</v>
      </c>
      <c r="L13" s="79"/>
      <c r="M13" s="79">
        <v>4.1666666999999998E-2</v>
      </c>
      <c r="N13" s="79">
        <v>4.1666666999999998E-2</v>
      </c>
      <c r="O13" s="79">
        <v>4.1666666999999998E-2</v>
      </c>
      <c r="P13" s="79">
        <v>4.1666666999999998E-2</v>
      </c>
      <c r="Q13" s="79">
        <v>4.1666666999999998E-2</v>
      </c>
      <c r="R13" s="79">
        <v>4.1666666999999998E-2</v>
      </c>
      <c r="S13" s="79">
        <v>4.1666666999999998E-2</v>
      </c>
      <c r="T13" s="79">
        <v>4.1666666999999998E-2</v>
      </c>
      <c r="U13" s="79">
        <v>4.1666666999999998E-2</v>
      </c>
      <c r="V13" s="79">
        <v>4.1666666999999998E-2</v>
      </c>
      <c r="W13" s="79">
        <v>4.1666666999999998E-2</v>
      </c>
      <c r="X13" s="79"/>
      <c r="Y13" s="79">
        <v>4.1666666999999998E-2</v>
      </c>
      <c r="Z13" s="79">
        <v>4.1666666999999998E-2</v>
      </c>
      <c r="AA13" s="79">
        <v>4.1666666999999998E-2</v>
      </c>
      <c r="AB13" s="79">
        <v>4.1666666999999998E-2</v>
      </c>
      <c r="AD13" s="1" t="b">
        <f t="shared" si="0"/>
        <v>1</v>
      </c>
      <c r="AE13" s="79">
        <v>4.1666666999999998E-2</v>
      </c>
      <c r="AF13" s="79">
        <v>4.1666666999999998E-2</v>
      </c>
    </row>
    <row r="14" spans="1:32" x14ac:dyDescent="0.25">
      <c r="A14" s="7" t="s">
        <v>1</v>
      </c>
      <c r="B14" s="3" t="s">
        <v>468</v>
      </c>
      <c r="C14" s="2" t="s">
        <v>481</v>
      </c>
      <c r="D14" s="2" t="s">
        <v>523</v>
      </c>
      <c r="E14" s="8" t="s">
        <v>114</v>
      </c>
      <c r="F14" s="8" t="s">
        <v>94</v>
      </c>
      <c r="G14" s="51">
        <v>1</v>
      </c>
      <c r="H14" s="77">
        <v>1</v>
      </c>
      <c r="I14" s="77">
        <v>1</v>
      </c>
      <c r="J14" s="77">
        <v>1</v>
      </c>
      <c r="K14" s="77">
        <v>1</v>
      </c>
      <c r="L14" s="77"/>
      <c r="M14" s="77">
        <v>1</v>
      </c>
      <c r="N14" s="77">
        <v>1</v>
      </c>
      <c r="O14" s="77">
        <v>1</v>
      </c>
      <c r="P14" s="77">
        <v>1</v>
      </c>
      <c r="Q14" s="77">
        <v>1</v>
      </c>
      <c r="R14" s="77">
        <v>1</v>
      </c>
      <c r="S14" s="77">
        <v>1</v>
      </c>
      <c r="T14" s="77">
        <v>1</v>
      </c>
      <c r="U14" s="77">
        <v>1</v>
      </c>
      <c r="V14" s="77">
        <v>1</v>
      </c>
      <c r="W14" s="77">
        <v>1</v>
      </c>
      <c r="X14" s="77"/>
      <c r="Y14" s="77">
        <v>1</v>
      </c>
      <c r="Z14" s="77">
        <v>1</v>
      </c>
      <c r="AA14" s="77">
        <v>1</v>
      </c>
      <c r="AB14" s="77">
        <v>1</v>
      </c>
      <c r="AD14" s="1" t="b">
        <f t="shared" si="0"/>
        <v>1</v>
      </c>
      <c r="AE14" s="77">
        <v>1</v>
      </c>
      <c r="AF14" s="77">
        <v>1</v>
      </c>
    </row>
    <row r="15" spans="1:32" x14ac:dyDescent="0.25">
      <c r="A15" s="7" t="s">
        <v>445</v>
      </c>
      <c r="B15" s="3" t="s">
        <v>468</v>
      </c>
      <c r="C15" s="2" t="s">
        <v>481</v>
      </c>
      <c r="D15" s="2" t="s">
        <v>523</v>
      </c>
      <c r="E15" s="8" t="s">
        <v>446</v>
      </c>
      <c r="F15" s="8" t="s">
        <v>94</v>
      </c>
      <c r="G15" s="51">
        <v>0</v>
      </c>
      <c r="H15" s="77">
        <v>0</v>
      </c>
      <c r="I15" s="77">
        <v>0</v>
      </c>
      <c r="J15" s="77">
        <v>0</v>
      </c>
      <c r="K15" s="77">
        <v>0</v>
      </c>
      <c r="L15" s="77"/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/>
      <c r="Y15" s="77">
        <v>0</v>
      </c>
      <c r="Z15" s="77">
        <v>0</v>
      </c>
      <c r="AA15" s="77">
        <v>0</v>
      </c>
      <c r="AB15" s="77">
        <v>0</v>
      </c>
      <c r="AD15" s="1" t="b">
        <f t="shared" si="0"/>
        <v>1</v>
      </c>
      <c r="AE15" s="77">
        <v>0</v>
      </c>
      <c r="AF15" s="77">
        <v>0</v>
      </c>
    </row>
    <row r="16" spans="1:32" x14ac:dyDescent="0.25">
      <c r="A16" s="7" t="s">
        <v>6</v>
      </c>
      <c r="B16" s="3" t="s">
        <v>468</v>
      </c>
      <c r="C16" s="2" t="s">
        <v>481</v>
      </c>
      <c r="D16" s="2" t="s">
        <v>523</v>
      </c>
      <c r="E16" s="8" t="s">
        <v>132</v>
      </c>
      <c r="F16" s="8" t="s">
        <v>95</v>
      </c>
      <c r="G16" s="40" t="s">
        <v>88</v>
      </c>
      <c r="H16" s="77" t="s">
        <v>88</v>
      </c>
      <c r="I16" s="77" t="s">
        <v>88</v>
      </c>
      <c r="J16" s="77" t="s">
        <v>88</v>
      </c>
      <c r="K16" s="77" t="s">
        <v>88</v>
      </c>
      <c r="L16" s="77"/>
      <c r="M16" s="77" t="s">
        <v>88</v>
      </c>
      <c r="N16" s="77" t="s">
        <v>88</v>
      </c>
      <c r="O16" s="77" t="s">
        <v>88</v>
      </c>
      <c r="P16" s="77" t="s">
        <v>88</v>
      </c>
      <c r="Q16" s="77" t="s">
        <v>88</v>
      </c>
      <c r="R16" s="77" t="s">
        <v>88</v>
      </c>
      <c r="S16" s="77" t="s">
        <v>88</v>
      </c>
      <c r="T16" s="77" t="s">
        <v>88</v>
      </c>
      <c r="U16" s="77" t="s">
        <v>88</v>
      </c>
      <c r="V16" s="77" t="s">
        <v>88</v>
      </c>
      <c r="W16" s="77" t="s">
        <v>88</v>
      </c>
      <c r="X16" s="77"/>
      <c r="Y16" s="77" t="s">
        <v>88</v>
      </c>
      <c r="Z16" s="77" t="s">
        <v>88</v>
      </c>
      <c r="AA16" s="77" t="s">
        <v>88</v>
      </c>
      <c r="AB16" s="77" t="s">
        <v>88</v>
      </c>
      <c r="AD16" s="1" t="b">
        <f t="shared" si="0"/>
        <v>1</v>
      </c>
      <c r="AE16" s="77" t="s">
        <v>88</v>
      </c>
      <c r="AF16" s="77" t="s">
        <v>88</v>
      </c>
    </row>
    <row r="17" spans="1:32" x14ac:dyDescent="0.25">
      <c r="A17" s="7" t="s">
        <v>7</v>
      </c>
      <c r="B17" s="3" t="s">
        <v>468</v>
      </c>
      <c r="C17" s="2" t="s">
        <v>481</v>
      </c>
      <c r="D17" s="2" t="s">
        <v>523</v>
      </c>
      <c r="E17" s="8" t="s">
        <v>117</v>
      </c>
      <c r="F17" s="8" t="s">
        <v>97</v>
      </c>
      <c r="G17" s="40">
        <v>5.0000000000000001E-9</v>
      </c>
      <c r="H17" s="80">
        <v>5.0000000000000001E-9</v>
      </c>
      <c r="I17" s="80">
        <v>5.0000000000000001E-9</v>
      </c>
      <c r="J17" s="80">
        <v>5.0000000000000001E-9</v>
      </c>
      <c r="K17" s="80">
        <v>5.0000000000000001E-9</v>
      </c>
      <c r="L17" s="80"/>
      <c r="M17" s="80">
        <v>5.0000000000000001E-9</v>
      </c>
      <c r="N17" s="80">
        <v>5.0000000000000001E-9</v>
      </c>
      <c r="O17" s="80">
        <v>5.0000000000000001E-9</v>
      </c>
      <c r="P17" s="80">
        <v>5.0000000000000001E-9</v>
      </c>
      <c r="Q17" s="80">
        <v>5.0000000000000001E-9</v>
      </c>
      <c r="R17" s="80">
        <v>5.0000000000000001E-9</v>
      </c>
      <c r="S17" s="80">
        <v>5.0000000000000001E-9</v>
      </c>
      <c r="T17" s="80">
        <v>5.0000000000000001E-9</v>
      </c>
      <c r="U17" s="80">
        <v>5.0000000000000001E-9</v>
      </c>
      <c r="V17" s="80">
        <v>5.0000000000000001E-9</v>
      </c>
      <c r="W17" s="80">
        <v>5.0000000000000001E-9</v>
      </c>
      <c r="X17" s="80"/>
      <c r="Y17" s="80">
        <v>5.0000000000000001E-9</v>
      </c>
      <c r="Z17" s="80">
        <v>5.0000000000000001E-9</v>
      </c>
      <c r="AA17" s="80">
        <v>5.0000000000000001E-9</v>
      </c>
      <c r="AB17" s="80">
        <v>5.0000000000000001E-9</v>
      </c>
      <c r="AD17" s="1" t="b">
        <f t="shared" si="0"/>
        <v>1</v>
      </c>
      <c r="AE17" s="80">
        <v>5.0000000000000001E-9</v>
      </c>
      <c r="AF17" s="80">
        <v>5.0000000000000001E-9</v>
      </c>
    </row>
    <row r="18" spans="1:32" x14ac:dyDescent="0.25">
      <c r="A18" s="7" t="s">
        <v>8</v>
      </c>
      <c r="B18" s="3" t="s">
        <v>468</v>
      </c>
      <c r="C18" s="2" t="s">
        <v>481</v>
      </c>
      <c r="D18" s="2" t="s">
        <v>523</v>
      </c>
      <c r="E18" s="8" t="s">
        <v>118</v>
      </c>
      <c r="F18" s="8" t="s">
        <v>461</v>
      </c>
      <c r="G18" s="51">
        <v>10</v>
      </c>
      <c r="H18" s="77">
        <v>10</v>
      </c>
      <c r="I18" s="77">
        <v>10</v>
      </c>
      <c r="J18" s="77">
        <v>10</v>
      </c>
      <c r="K18" s="77">
        <v>10</v>
      </c>
      <c r="L18" s="77"/>
      <c r="M18" s="77">
        <v>10</v>
      </c>
      <c r="N18" s="77">
        <v>10</v>
      </c>
      <c r="O18" s="77">
        <v>10</v>
      </c>
      <c r="P18" s="77">
        <v>10</v>
      </c>
      <c r="Q18" s="77">
        <v>10</v>
      </c>
      <c r="R18" s="77">
        <v>10</v>
      </c>
      <c r="S18" s="77">
        <v>10</v>
      </c>
      <c r="T18" s="77">
        <v>10</v>
      </c>
      <c r="U18" s="77">
        <v>10</v>
      </c>
      <c r="V18" s="77">
        <v>10</v>
      </c>
      <c r="W18" s="77">
        <v>10</v>
      </c>
      <c r="X18" s="77"/>
      <c r="Y18" s="77">
        <v>10</v>
      </c>
      <c r="Z18" s="77">
        <v>10</v>
      </c>
      <c r="AA18" s="77">
        <v>10</v>
      </c>
      <c r="AB18" s="77">
        <v>10</v>
      </c>
      <c r="AD18" s="1" t="b">
        <f t="shared" si="0"/>
        <v>1</v>
      </c>
      <c r="AE18" s="77">
        <v>10</v>
      </c>
      <c r="AF18" s="77">
        <v>10</v>
      </c>
    </row>
    <row r="19" spans="1:32" x14ac:dyDescent="0.25">
      <c r="A19" s="7" t="s">
        <v>458</v>
      </c>
      <c r="B19" s="3" t="s">
        <v>468</v>
      </c>
      <c r="C19" s="2" t="s">
        <v>481</v>
      </c>
      <c r="D19" s="2" t="s">
        <v>523</v>
      </c>
      <c r="E19" s="8" t="s">
        <v>453</v>
      </c>
      <c r="F19" s="8" t="s">
        <v>95</v>
      </c>
      <c r="G19" s="51" t="s">
        <v>88</v>
      </c>
      <c r="H19" s="77" t="s">
        <v>88</v>
      </c>
      <c r="I19" s="77" t="s">
        <v>88</v>
      </c>
      <c r="J19" s="77" t="s">
        <v>88</v>
      </c>
      <c r="K19" s="77" t="s">
        <v>88</v>
      </c>
      <c r="L19" s="77"/>
      <c r="M19" s="77" t="s">
        <v>88</v>
      </c>
      <c r="N19" s="77" t="s">
        <v>88</v>
      </c>
      <c r="O19" s="77" t="s">
        <v>88</v>
      </c>
      <c r="P19" s="77" t="s">
        <v>88</v>
      </c>
      <c r="Q19" s="77" t="s">
        <v>88</v>
      </c>
      <c r="R19" s="77" t="s">
        <v>88</v>
      </c>
      <c r="S19" s="77" t="s">
        <v>88</v>
      </c>
      <c r="T19" s="77" t="s">
        <v>88</v>
      </c>
      <c r="U19" s="77" t="s">
        <v>88</v>
      </c>
      <c r="V19" s="77" t="s">
        <v>88</v>
      </c>
      <c r="W19" s="77" t="s">
        <v>88</v>
      </c>
      <c r="X19" s="77"/>
      <c r="Y19" s="77" t="s">
        <v>88</v>
      </c>
      <c r="Z19" s="77" t="s">
        <v>88</v>
      </c>
      <c r="AA19" s="77" t="s">
        <v>88</v>
      </c>
      <c r="AB19" s="77" t="s">
        <v>88</v>
      </c>
      <c r="AD19" s="1" t="b">
        <f t="shared" si="0"/>
        <v>1</v>
      </c>
      <c r="AE19" s="77" t="s">
        <v>88</v>
      </c>
      <c r="AF19" s="77" t="s">
        <v>88</v>
      </c>
    </row>
    <row r="20" spans="1:32" x14ac:dyDescent="0.25">
      <c r="A20" s="7" t="s">
        <v>459</v>
      </c>
      <c r="B20" s="3" t="s">
        <v>468</v>
      </c>
      <c r="C20" s="2" t="s">
        <v>481</v>
      </c>
      <c r="D20" s="2" t="s">
        <v>523</v>
      </c>
      <c r="E20" s="8" t="s">
        <v>460</v>
      </c>
      <c r="F20" s="8" t="s">
        <v>95</v>
      </c>
      <c r="G20" s="51" t="s">
        <v>88</v>
      </c>
      <c r="H20" s="77" t="s">
        <v>88</v>
      </c>
      <c r="I20" s="77" t="s">
        <v>88</v>
      </c>
      <c r="J20" s="77" t="s">
        <v>88</v>
      </c>
      <c r="K20" s="77" t="s">
        <v>88</v>
      </c>
      <c r="L20" s="77"/>
      <c r="M20" s="77" t="s">
        <v>88</v>
      </c>
      <c r="N20" s="77" t="s">
        <v>88</v>
      </c>
      <c r="O20" s="77" t="s">
        <v>88</v>
      </c>
      <c r="P20" s="77" t="s">
        <v>88</v>
      </c>
      <c r="Q20" s="77" t="s">
        <v>88</v>
      </c>
      <c r="R20" s="77" t="s">
        <v>88</v>
      </c>
      <c r="S20" s="77" t="s">
        <v>88</v>
      </c>
      <c r="T20" s="77" t="s">
        <v>88</v>
      </c>
      <c r="U20" s="77" t="s">
        <v>88</v>
      </c>
      <c r="V20" s="77" t="s">
        <v>88</v>
      </c>
      <c r="W20" s="77" t="s">
        <v>88</v>
      </c>
      <c r="X20" s="77"/>
      <c r="Y20" s="77" t="s">
        <v>88</v>
      </c>
      <c r="Z20" s="77" t="s">
        <v>88</v>
      </c>
      <c r="AA20" s="77" t="s">
        <v>88</v>
      </c>
      <c r="AB20" s="77" t="s">
        <v>88</v>
      </c>
      <c r="AD20" s="1" t="b">
        <f t="shared" si="0"/>
        <v>1</v>
      </c>
      <c r="AE20" s="77" t="s">
        <v>88</v>
      </c>
      <c r="AF20" s="77" t="s">
        <v>88</v>
      </c>
    </row>
    <row r="21" spans="1:32" x14ac:dyDescent="0.25">
      <c r="A21" s="7" t="s">
        <v>462</v>
      </c>
      <c r="B21" s="3" t="s">
        <v>468</v>
      </c>
      <c r="C21" s="2" t="s">
        <v>481</v>
      </c>
      <c r="D21" s="2" t="s">
        <v>523</v>
      </c>
      <c r="E21" s="8" t="s">
        <v>463</v>
      </c>
      <c r="F21" s="8" t="s">
        <v>95</v>
      </c>
      <c r="G21" s="51" t="s">
        <v>88</v>
      </c>
      <c r="H21" s="77" t="s">
        <v>88</v>
      </c>
      <c r="I21" s="77" t="s">
        <v>88</v>
      </c>
      <c r="J21" s="77" t="s">
        <v>88</v>
      </c>
      <c r="K21" s="77" t="s">
        <v>88</v>
      </c>
      <c r="L21" s="77"/>
      <c r="M21" s="77" t="s">
        <v>88</v>
      </c>
      <c r="N21" s="77" t="s">
        <v>88</v>
      </c>
      <c r="O21" s="77" t="s">
        <v>88</v>
      </c>
      <c r="P21" s="77" t="s">
        <v>88</v>
      </c>
      <c r="Q21" s="77" t="s">
        <v>88</v>
      </c>
      <c r="R21" s="77" t="s">
        <v>88</v>
      </c>
      <c r="S21" s="77" t="s">
        <v>88</v>
      </c>
      <c r="T21" s="77" t="s">
        <v>88</v>
      </c>
      <c r="U21" s="77" t="s">
        <v>88</v>
      </c>
      <c r="V21" s="77" t="s">
        <v>88</v>
      </c>
      <c r="W21" s="77" t="s">
        <v>88</v>
      </c>
      <c r="X21" s="77"/>
      <c r="Y21" s="77" t="s">
        <v>88</v>
      </c>
      <c r="Z21" s="77" t="s">
        <v>88</v>
      </c>
      <c r="AA21" s="77" t="s">
        <v>88</v>
      </c>
      <c r="AB21" s="77" t="s">
        <v>88</v>
      </c>
      <c r="AD21" s="1" t="b">
        <f t="shared" si="0"/>
        <v>1</v>
      </c>
      <c r="AE21" s="77" t="s">
        <v>88</v>
      </c>
      <c r="AF21" s="77" t="s">
        <v>88</v>
      </c>
    </row>
    <row r="22" spans="1:32" x14ac:dyDescent="0.25">
      <c r="A22" s="7" t="s">
        <v>464</v>
      </c>
      <c r="B22" s="3" t="s">
        <v>468</v>
      </c>
      <c r="C22" s="2" t="s">
        <v>481</v>
      </c>
      <c r="D22" s="2" t="s">
        <v>523</v>
      </c>
      <c r="E22" s="8" t="s">
        <v>465</v>
      </c>
      <c r="F22" s="8" t="s">
        <v>297</v>
      </c>
      <c r="G22" s="51">
        <v>86400</v>
      </c>
      <c r="H22" s="77">
        <v>86400</v>
      </c>
      <c r="I22" s="77">
        <v>86400</v>
      </c>
      <c r="J22" s="77">
        <v>86400</v>
      </c>
      <c r="K22" s="77">
        <v>86400</v>
      </c>
      <c r="L22" s="77"/>
      <c r="M22" s="77">
        <v>86400</v>
      </c>
      <c r="N22" s="77">
        <v>86400</v>
      </c>
      <c r="O22" s="77">
        <v>86400</v>
      </c>
      <c r="P22" s="77">
        <v>86400</v>
      </c>
      <c r="Q22" s="77">
        <v>86400</v>
      </c>
      <c r="R22" s="77">
        <v>86400</v>
      </c>
      <c r="S22" s="77">
        <v>86400</v>
      </c>
      <c r="T22" s="77">
        <v>86400</v>
      </c>
      <c r="U22" s="77">
        <v>86400</v>
      </c>
      <c r="V22" s="77">
        <v>86400</v>
      </c>
      <c r="W22" s="77">
        <v>86400</v>
      </c>
      <c r="X22" s="77"/>
      <c r="Y22" s="77">
        <v>86400</v>
      </c>
      <c r="Z22" s="77">
        <v>86400</v>
      </c>
      <c r="AA22" s="77">
        <v>86400</v>
      </c>
      <c r="AB22" s="77">
        <v>86400</v>
      </c>
      <c r="AD22" s="1" t="b">
        <f t="shared" si="0"/>
        <v>1</v>
      </c>
      <c r="AE22" s="77">
        <v>86400</v>
      </c>
      <c r="AF22" s="77">
        <v>86400</v>
      </c>
    </row>
    <row r="23" spans="1:32" x14ac:dyDescent="0.25">
      <c r="A23" s="9" t="s">
        <v>10</v>
      </c>
      <c r="B23" s="3" t="s">
        <v>468</v>
      </c>
      <c r="C23" s="2" t="s">
        <v>481</v>
      </c>
      <c r="D23" s="2" t="s">
        <v>523</v>
      </c>
      <c r="E23" s="10" t="s">
        <v>134</v>
      </c>
      <c r="F23" s="10" t="s">
        <v>95</v>
      </c>
      <c r="G23" s="52" t="s">
        <v>87</v>
      </c>
      <c r="H23" s="85" t="b">
        <v>0</v>
      </c>
      <c r="I23" s="77" t="s">
        <v>87</v>
      </c>
      <c r="J23" s="77" t="s">
        <v>87</v>
      </c>
      <c r="K23" s="77" t="s">
        <v>87</v>
      </c>
      <c r="L23" s="77"/>
      <c r="M23" s="77" t="s">
        <v>87</v>
      </c>
      <c r="N23" s="77" t="s">
        <v>87</v>
      </c>
      <c r="O23" s="77" t="s">
        <v>87</v>
      </c>
      <c r="P23" s="77" t="s">
        <v>87</v>
      </c>
      <c r="Q23" s="77" t="s">
        <v>87</v>
      </c>
      <c r="R23" s="77" t="s">
        <v>87</v>
      </c>
      <c r="S23" s="77" t="s">
        <v>87</v>
      </c>
      <c r="T23" s="77" t="s">
        <v>87</v>
      </c>
      <c r="U23" s="77" t="s">
        <v>87</v>
      </c>
      <c r="V23" s="77" t="s">
        <v>87</v>
      </c>
      <c r="W23" s="77" t="s">
        <v>87</v>
      </c>
      <c r="X23" s="77"/>
      <c r="Y23" s="77" t="s">
        <v>87</v>
      </c>
      <c r="Z23" s="77" t="s">
        <v>87</v>
      </c>
      <c r="AA23" s="77" t="s">
        <v>87</v>
      </c>
      <c r="AB23" s="77" t="s">
        <v>87</v>
      </c>
      <c r="AD23" s="1" t="b">
        <f t="shared" si="0"/>
        <v>1</v>
      </c>
      <c r="AE23" s="77" t="s">
        <v>87</v>
      </c>
      <c r="AF23" s="77" t="s">
        <v>87</v>
      </c>
    </row>
    <row r="24" spans="1:32" x14ac:dyDescent="0.25">
      <c r="A24" s="9" t="s">
        <v>11</v>
      </c>
      <c r="B24" s="3" t="s">
        <v>468</v>
      </c>
      <c r="C24" s="2" t="s">
        <v>481</v>
      </c>
      <c r="D24" s="2" t="s">
        <v>523</v>
      </c>
      <c r="E24" s="10" t="s">
        <v>119</v>
      </c>
      <c r="F24" s="10" t="s">
        <v>96</v>
      </c>
      <c r="G24" s="52">
        <v>3</v>
      </c>
      <c r="H24" s="77">
        <v>3</v>
      </c>
      <c r="I24" s="77">
        <v>3</v>
      </c>
      <c r="J24" s="77">
        <v>3</v>
      </c>
      <c r="K24" s="77">
        <v>3</v>
      </c>
      <c r="L24" s="77"/>
      <c r="M24" s="77">
        <v>3</v>
      </c>
      <c r="N24" s="77">
        <v>3</v>
      </c>
      <c r="O24" s="77">
        <v>3</v>
      </c>
      <c r="P24" s="77">
        <v>3</v>
      </c>
      <c r="Q24" s="77">
        <v>3</v>
      </c>
      <c r="R24" s="77">
        <v>3</v>
      </c>
      <c r="S24" s="77">
        <v>3</v>
      </c>
      <c r="T24" s="77">
        <v>3</v>
      </c>
      <c r="U24" s="77">
        <v>3</v>
      </c>
      <c r="V24" s="77">
        <v>3</v>
      </c>
      <c r="W24" s="77">
        <v>3</v>
      </c>
      <c r="X24" s="77"/>
      <c r="Y24" s="77">
        <v>3</v>
      </c>
      <c r="Z24" s="77">
        <v>3</v>
      </c>
      <c r="AA24" s="77">
        <v>3</v>
      </c>
      <c r="AB24" s="77">
        <v>3</v>
      </c>
      <c r="AD24" s="1" t="b">
        <f t="shared" si="0"/>
        <v>1</v>
      </c>
      <c r="AE24" s="77">
        <v>3</v>
      </c>
      <c r="AF24" s="77">
        <v>3</v>
      </c>
    </row>
    <row r="25" spans="1:32" x14ac:dyDescent="0.25">
      <c r="A25" s="9" t="s">
        <v>363</v>
      </c>
      <c r="B25" s="3" t="s">
        <v>468</v>
      </c>
      <c r="C25" s="2" t="s">
        <v>481</v>
      </c>
      <c r="D25" s="2" t="s">
        <v>523</v>
      </c>
      <c r="E25" s="10" t="s">
        <v>364</v>
      </c>
      <c r="F25" s="10" t="s">
        <v>95</v>
      </c>
      <c r="G25" s="52" t="s">
        <v>88</v>
      </c>
      <c r="H25" s="81" t="s">
        <v>88</v>
      </c>
      <c r="I25" s="81" t="s">
        <v>88</v>
      </c>
      <c r="J25" s="81" t="s">
        <v>88</v>
      </c>
      <c r="K25" s="81" t="s">
        <v>88</v>
      </c>
      <c r="L25" s="81"/>
      <c r="M25" s="81" t="s">
        <v>88</v>
      </c>
      <c r="N25" s="81" t="s">
        <v>88</v>
      </c>
      <c r="O25" s="81" t="s">
        <v>88</v>
      </c>
      <c r="P25" s="81" t="s">
        <v>88</v>
      </c>
      <c r="Q25" s="81" t="s">
        <v>88</v>
      </c>
      <c r="R25" s="81" t="s">
        <v>88</v>
      </c>
      <c r="S25" s="81" t="s">
        <v>88</v>
      </c>
      <c r="T25" s="81" t="s">
        <v>88</v>
      </c>
      <c r="U25" s="81" t="s">
        <v>88</v>
      </c>
      <c r="V25" s="81" t="s">
        <v>88</v>
      </c>
      <c r="W25" s="81" t="s">
        <v>88</v>
      </c>
      <c r="X25" s="81"/>
      <c r="Y25" s="81" t="s">
        <v>88</v>
      </c>
      <c r="Z25" s="81" t="s">
        <v>88</v>
      </c>
      <c r="AA25" s="81" t="s">
        <v>88</v>
      </c>
      <c r="AB25" s="81" t="s">
        <v>88</v>
      </c>
      <c r="AD25" s="1" t="b">
        <f t="shared" si="0"/>
        <v>1</v>
      </c>
      <c r="AE25" s="81" t="s">
        <v>88</v>
      </c>
      <c r="AF25" s="81" t="s">
        <v>88</v>
      </c>
    </row>
    <row r="26" spans="1:32" x14ac:dyDescent="0.25">
      <c r="A26" s="9" t="s">
        <v>365</v>
      </c>
      <c r="B26" s="3" t="s">
        <v>468</v>
      </c>
      <c r="C26" s="2" t="s">
        <v>481</v>
      </c>
      <c r="D26" s="2" t="s">
        <v>523</v>
      </c>
      <c r="E26" s="10" t="s">
        <v>366</v>
      </c>
      <c r="F26" s="10" t="s">
        <v>95</v>
      </c>
      <c r="G26" s="52" t="s">
        <v>88</v>
      </c>
      <c r="H26" s="81" t="s">
        <v>88</v>
      </c>
      <c r="I26" s="81" t="s">
        <v>88</v>
      </c>
      <c r="J26" s="81" t="s">
        <v>88</v>
      </c>
      <c r="K26" s="81" t="s">
        <v>88</v>
      </c>
      <c r="L26" s="81"/>
      <c r="M26" s="81" t="s">
        <v>88</v>
      </c>
      <c r="N26" s="81" t="s">
        <v>88</v>
      </c>
      <c r="O26" s="81" t="s">
        <v>88</v>
      </c>
      <c r="P26" s="81" t="s">
        <v>88</v>
      </c>
      <c r="Q26" s="81" t="s">
        <v>88</v>
      </c>
      <c r="R26" s="81" t="s">
        <v>88</v>
      </c>
      <c r="S26" s="81" t="s">
        <v>88</v>
      </c>
      <c r="T26" s="81" t="s">
        <v>88</v>
      </c>
      <c r="U26" s="81" t="s">
        <v>88</v>
      </c>
      <c r="V26" s="81" t="s">
        <v>88</v>
      </c>
      <c r="W26" s="81" t="s">
        <v>88</v>
      </c>
      <c r="X26" s="81"/>
      <c r="Y26" s="81" t="s">
        <v>88</v>
      </c>
      <c r="Z26" s="81" t="s">
        <v>88</v>
      </c>
      <c r="AA26" s="81" t="s">
        <v>88</v>
      </c>
      <c r="AB26" s="81" t="s">
        <v>88</v>
      </c>
      <c r="AD26" s="1" t="b">
        <f t="shared" si="0"/>
        <v>1</v>
      </c>
      <c r="AE26" s="81" t="s">
        <v>88</v>
      </c>
      <c r="AF26" s="81" t="s">
        <v>88</v>
      </c>
    </row>
    <row r="27" spans="1:32" x14ac:dyDescent="0.25">
      <c r="A27" s="9" t="s">
        <v>377</v>
      </c>
      <c r="B27" s="3" t="s">
        <v>468</v>
      </c>
      <c r="C27" s="2" t="s">
        <v>481</v>
      </c>
      <c r="D27" s="2" t="s">
        <v>523</v>
      </c>
      <c r="E27" s="10" t="s">
        <v>378</v>
      </c>
      <c r="F27" s="10" t="s">
        <v>95</v>
      </c>
      <c r="G27" s="52" t="s">
        <v>88</v>
      </c>
      <c r="H27" s="77" t="s">
        <v>88</v>
      </c>
      <c r="I27" s="77" t="s">
        <v>88</v>
      </c>
      <c r="J27" s="77" t="s">
        <v>88</v>
      </c>
      <c r="K27" s="77" t="s">
        <v>88</v>
      </c>
      <c r="L27" s="77"/>
      <c r="M27" s="77" t="s">
        <v>88</v>
      </c>
      <c r="N27" s="77" t="s">
        <v>88</v>
      </c>
      <c r="O27" s="77" t="s">
        <v>88</v>
      </c>
      <c r="P27" s="77" t="s">
        <v>88</v>
      </c>
      <c r="Q27" s="77" t="s">
        <v>88</v>
      </c>
      <c r="R27" s="77" t="s">
        <v>88</v>
      </c>
      <c r="S27" s="77" t="s">
        <v>88</v>
      </c>
      <c r="T27" s="77" t="s">
        <v>88</v>
      </c>
      <c r="U27" s="77" t="s">
        <v>88</v>
      </c>
      <c r="V27" s="77" t="s">
        <v>88</v>
      </c>
      <c r="W27" s="77" t="s">
        <v>88</v>
      </c>
      <c r="X27" s="77"/>
      <c r="Y27" s="77" t="s">
        <v>88</v>
      </c>
      <c r="Z27" s="77" t="s">
        <v>88</v>
      </c>
      <c r="AA27" s="77" t="s">
        <v>88</v>
      </c>
      <c r="AB27" s="77" t="s">
        <v>88</v>
      </c>
      <c r="AD27" s="1" t="b">
        <f t="shared" si="0"/>
        <v>1</v>
      </c>
      <c r="AE27" s="77" t="s">
        <v>88</v>
      </c>
      <c r="AF27" s="77" t="s">
        <v>88</v>
      </c>
    </row>
    <row r="28" spans="1:32" x14ac:dyDescent="0.25">
      <c r="A28" s="9" t="s">
        <v>376</v>
      </c>
      <c r="B28" s="3" t="s">
        <v>468</v>
      </c>
      <c r="C28" s="2" t="s">
        <v>481</v>
      </c>
      <c r="D28" s="2" t="s">
        <v>523</v>
      </c>
      <c r="E28" s="10" t="s">
        <v>374</v>
      </c>
      <c r="F28" s="10" t="s">
        <v>95</v>
      </c>
      <c r="G28" s="52" t="s">
        <v>88</v>
      </c>
      <c r="H28" s="81" t="s">
        <v>88</v>
      </c>
      <c r="I28" s="81" t="s">
        <v>88</v>
      </c>
      <c r="J28" s="81" t="s">
        <v>88</v>
      </c>
      <c r="K28" s="81" t="s">
        <v>88</v>
      </c>
      <c r="L28" s="81"/>
      <c r="M28" s="81" t="s">
        <v>88</v>
      </c>
      <c r="N28" s="81" t="s">
        <v>88</v>
      </c>
      <c r="O28" s="81" t="s">
        <v>88</v>
      </c>
      <c r="P28" s="81" t="s">
        <v>88</v>
      </c>
      <c r="Q28" s="81" t="s">
        <v>88</v>
      </c>
      <c r="R28" s="81" t="s">
        <v>88</v>
      </c>
      <c r="S28" s="81" t="s">
        <v>88</v>
      </c>
      <c r="T28" s="81" t="s">
        <v>88</v>
      </c>
      <c r="U28" s="81" t="s">
        <v>88</v>
      </c>
      <c r="V28" s="81" t="s">
        <v>88</v>
      </c>
      <c r="W28" s="81" t="s">
        <v>88</v>
      </c>
      <c r="X28" s="81"/>
      <c r="Y28" s="81" t="s">
        <v>88</v>
      </c>
      <c r="Z28" s="81" t="s">
        <v>88</v>
      </c>
      <c r="AA28" s="81" t="s">
        <v>88</v>
      </c>
      <c r="AB28" s="81" t="s">
        <v>88</v>
      </c>
      <c r="AD28" s="1" t="b">
        <f t="shared" si="0"/>
        <v>1</v>
      </c>
      <c r="AE28" s="81" t="s">
        <v>88</v>
      </c>
      <c r="AF28" s="81" t="s">
        <v>88</v>
      </c>
    </row>
    <row r="29" spans="1:32" x14ac:dyDescent="0.25">
      <c r="A29" s="9" t="s">
        <v>375</v>
      </c>
      <c r="B29" s="3" t="s">
        <v>468</v>
      </c>
      <c r="C29" s="2" t="s">
        <v>481</v>
      </c>
      <c r="D29" s="2" t="s">
        <v>523</v>
      </c>
      <c r="E29" s="10" t="s">
        <v>373</v>
      </c>
      <c r="F29" s="10" t="s">
        <v>95</v>
      </c>
      <c r="G29" s="52" t="s">
        <v>88</v>
      </c>
      <c r="H29" s="81" t="s">
        <v>88</v>
      </c>
      <c r="I29" s="81" t="s">
        <v>88</v>
      </c>
      <c r="J29" s="81" t="s">
        <v>88</v>
      </c>
      <c r="K29" s="81" t="s">
        <v>88</v>
      </c>
      <c r="L29" s="81"/>
      <c r="M29" s="81" t="s">
        <v>88</v>
      </c>
      <c r="N29" s="81" t="s">
        <v>88</v>
      </c>
      <c r="O29" s="81" t="s">
        <v>88</v>
      </c>
      <c r="P29" s="81" t="s">
        <v>88</v>
      </c>
      <c r="Q29" s="81" t="s">
        <v>88</v>
      </c>
      <c r="R29" s="81" t="s">
        <v>88</v>
      </c>
      <c r="S29" s="81" t="s">
        <v>88</v>
      </c>
      <c r="T29" s="81" t="s">
        <v>88</v>
      </c>
      <c r="U29" s="81" t="s">
        <v>88</v>
      </c>
      <c r="V29" s="81" t="s">
        <v>88</v>
      </c>
      <c r="W29" s="81" t="s">
        <v>88</v>
      </c>
      <c r="X29" s="81"/>
      <c r="Y29" s="81" t="s">
        <v>88</v>
      </c>
      <c r="Z29" s="81" t="s">
        <v>88</v>
      </c>
      <c r="AA29" s="81" t="s">
        <v>88</v>
      </c>
      <c r="AB29" s="81" t="s">
        <v>88</v>
      </c>
      <c r="AD29" s="1" t="b">
        <f t="shared" si="0"/>
        <v>1</v>
      </c>
      <c r="AE29" s="81" t="s">
        <v>88</v>
      </c>
      <c r="AF29" s="81" t="s">
        <v>88</v>
      </c>
    </row>
    <row r="30" spans="1:32" x14ac:dyDescent="0.25">
      <c r="A30" s="9" t="s">
        <v>12</v>
      </c>
      <c r="B30" s="3" t="s">
        <v>468</v>
      </c>
      <c r="C30" s="2" t="s">
        <v>481</v>
      </c>
      <c r="D30" s="2" t="s">
        <v>523</v>
      </c>
      <c r="E30" s="10" t="s">
        <v>140</v>
      </c>
      <c r="F30" s="10" t="s">
        <v>95</v>
      </c>
      <c r="G30" s="52" t="s">
        <v>88</v>
      </c>
      <c r="H30" s="77" t="s">
        <v>88</v>
      </c>
      <c r="I30" s="77" t="s">
        <v>88</v>
      </c>
      <c r="J30" s="77" t="s">
        <v>88</v>
      </c>
      <c r="K30" s="77" t="s">
        <v>88</v>
      </c>
      <c r="L30" s="77"/>
      <c r="M30" s="77" t="s">
        <v>88</v>
      </c>
      <c r="N30" s="77" t="s">
        <v>88</v>
      </c>
      <c r="O30" s="77" t="s">
        <v>88</v>
      </c>
      <c r="P30" s="77" t="s">
        <v>88</v>
      </c>
      <c r="Q30" s="77" t="s">
        <v>88</v>
      </c>
      <c r="R30" s="77" t="s">
        <v>88</v>
      </c>
      <c r="S30" s="77" t="s">
        <v>88</v>
      </c>
      <c r="T30" s="77" t="s">
        <v>88</v>
      </c>
      <c r="U30" s="77" t="s">
        <v>88</v>
      </c>
      <c r="V30" s="77" t="s">
        <v>88</v>
      </c>
      <c r="W30" s="77" t="s">
        <v>88</v>
      </c>
      <c r="X30" s="77"/>
      <c r="Y30" s="77" t="s">
        <v>88</v>
      </c>
      <c r="Z30" s="77" t="s">
        <v>88</v>
      </c>
      <c r="AA30" s="77" t="s">
        <v>88</v>
      </c>
      <c r="AB30" s="77" t="s">
        <v>88</v>
      </c>
      <c r="AD30" s="1" t="b">
        <f t="shared" si="0"/>
        <v>1</v>
      </c>
      <c r="AE30" s="77" t="s">
        <v>88</v>
      </c>
      <c r="AF30" s="77" t="s">
        <v>88</v>
      </c>
    </row>
    <row r="31" spans="1:32" x14ac:dyDescent="0.25">
      <c r="A31" s="9" t="s">
        <v>13</v>
      </c>
      <c r="B31" s="3" t="s">
        <v>468</v>
      </c>
      <c r="C31" s="2" t="s">
        <v>481</v>
      </c>
      <c r="D31" s="2" t="s">
        <v>523</v>
      </c>
      <c r="E31" s="10" t="s">
        <v>120</v>
      </c>
      <c r="F31" s="10" t="s">
        <v>98</v>
      </c>
      <c r="G31" s="52">
        <v>0.33</v>
      </c>
      <c r="H31" s="77">
        <v>0.33</v>
      </c>
      <c r="I31" s="77">
        <v>0.33</v>
      </c>
      <c r="J31" s="77">
        <v>0.33</v>
      </c>
      <c r="K31" s="77">
        <v>0.33</v>
      </c>
      <c r="L31" s="77"/>
      <c r="M31" s="77">
        <v>0.33</v>
      </c>
      <c r="N31" s="77">
        <v>0.33</v>
      </c>
      <c r="O31" s="77">
        <v>0.33</v>
      </c>
      <c r="P31" s="77">
        <v>0.33</v>
      </c>
      <c r="Q31" s="77">
        <v>0.33</v>
      </c>
      <c r="R31" s="77">
        <v>0.33</v>
      </c>
      <c r="S31" s="77">
        <v>0.33</v>
      </c>
      <c r="T31" s="77">
        <v>0.33</v>
      </c>
      <c r="U31" s="77">
        <v>0.33</v>
      </c>
      <c r="V31" s="77">
        <v>0.33</v>
      </c>
      <c r="W31" s="77">
        <v>0.33</v>
      </c>
      <c r="X31" s="77"/>
      <c r="Y31" s="77">
        <v>0.33</v>
      </c>
      <c r="Z31" s="77">
        <v>0.33</v>
      </c>
      <c r="AA31" s="77">
        <v>0.33</v>
      </c>
      <c r="AB31" s="77">
        <v>0.33</v>
      </c>
      <c r="AD31" s="1" t="b">
        <f t="shared" si="0"/>
        <v>1</v>
      </c>
      <c r="AE31" s="77">
        <v>0.33</v>
      </c>
      <c r="AF31" s="77">
        <v>0.33</v>
      </c>
    </row>
    <row r="32" spans="1:32" x14ac:dyDescent="0.25">
      <c r="A32" s="9" t="s">
        <v>14</v>
      </c>
      <c r="B32" s="3" t="s">
        <v>468</v>
      </c>
      <c r="C32" s="2" t="s">
        <v>481</v>
      </c>
      <c r="D32" s="2" t="s">
        <v>523</v>
      </c>
      <c r="E32" s="10" t="s">
        <v>135</v>
      </c>
      <c r="F32" s="10" t="s">
        <v>95</v>
      </c>
      <c r="G32" s="52" t="s">
        <v>88</v>
      </c>
      <c r="H32" s="77" t="s">
        <v>88</v>
      </c>
      <c r="I32" s="77" t="s">
        <v>88</v>
      </c>
      <c r="J32" s="77" t="s">
        <v>88</v>
      </c>
      <c r="K32" s="77" t="s">
        <v>88</v>
      </c>
      <c r="L32" s="77"/>
      <c r="M32" s="77" t="s">
        <v>88</v>
      </c>
      <c r="N32" s="77" t="s">
        <v>88</v>
      </c>
      <c r="O32" s="77" t="s">
        <v>88</v>
      </c>
      <c r="P32" s="77" t="s">
        <v>88</v>
      </c>
      <c r="Q32" s="77" t="s">
        <v>88</v>
      </c>
      <c r="R32" s="77" t="s">
        <v>88</v>
      </c>
      <c r="S32" s="77" t="s">
        <v>88</v>
      </c>
      <c r="T32" s="77" t="s">
        <v>88</v>
      </c>
      <c r="U32" s="77" t="s">
        <v>88</v>
      </c>
      <c r="V32" s="77" t="s">
        <v>88</v>
      </c>
      <c r="W32" s="77" t="s">
        <v>88</v>
      </c>
      <c r="X32" s="77"/>
      <c r="Y32" s="77" t="s">
        <v>88</v>
      </c>
      <c r="Z32" s="77" t="s">
        <v>88</v>
      </c>
      <c r="AA32" s="77" t="s">
        <v>88</v>
      </c>
      <c r="AB32" s="77" t="s">
        <v>88</v>
      </c>
      <c r="AD32" s="1" t="b">
        <f t="shared" si="0"/>
        <v>1</v>
      </c>
      <c r="AE32" s="77" t="s">
        <v>88</v>
      </c>
      <c r="AF32" s="77" t="s">
        <v>88</v>
      </c>
    </row>
    <row r="33" spans="1:32" x14ac:dyDescent="0.25">
      <c r="A33" s="9" t="s">
        <v>9</v>
      </c>
      <c r="B33" s="3" t="s">
        <v>468</v>
      </c>
      <c r="C33" s="2" t="s">
        <v>481</v>
      </c>
      <c r="D33" s="2" t="s">
        <v>523</v>
      </c>
      <c r="E33" s="10" t="s">
        <v>133</v>
      </c>
      <c r="F33" s="10" t="s">
        <v>95</v>
      </c>
      <c r="G33" s="52" t="s">
        <v>88</v>
      </c>
      <c r="H33" s="77" t="s">
        <v>88</v>
      </c>
      <c r="I33" s="77" t="s">
        <v>88</v>
      </c>
      <c r="J33" s="77" t="s">
        <v>88</v>
      </c>
      <c r="K33" s="77" t="s">
        <v>88</v>
      </c>
      <c r="L33" s="77"/>
      <c r="M33" s="77" t="s">
        <v>88</v>
      </c>
      <c r="N33" s="77" t="s">
        <v>88</v>
      </c>
      <c r="O33" s="77" t="s">
        <v>88</v>
      </c>
      <c r="P33" s="77" t="s">
        <v>88</v>
      </c>
      <c r="Q33" s="77" t="s">
        <v>88</v>
      </c>
      <c r="R33" s="77" t="s">
        <v>88</v>
      </c>
      <c r="S33" s="77" t="s">
        <v>88</v>
      </c>
      <c r="T33" s="77" t="s">
        <v>88</v>
      </c>
      <c r="U33" s="77" t="s">
        <v>88</v>
      </c>
      <c r="V33" s="77" t="s">
        <v>88</v>
      </c>
      <c r="W33" s="77" t="s">
        <v>88</v>
      </c>
      <c r="X33" s="77"/>
      <c r="Y33" s="77" t="s">
        <v>88</v>
      </c>
      <c r="Z33" s="77" t="s">
        <v>88</v>
      </c>
      <c r="AA33" s="77" t="s">
        <v>88</v>
      </c>
      <c r="AB33" s="77" t="s">
        <v>88</v>
      </c>
      <c r="AD33" s="1" t="b">
        <f t="shared" si="0"/>
        <v>1</v>
      </c>
      <c r="AE33" s="77" t="s">
        <v>88</v>
      </c>
      <c r="AF33" s="77" t="s">
        <v>88</v>
      </c>
    </row>
    <row r="34" spans="1:32" x14ac:dyDescent="0.25">
      <c r="A34" s="9" t="s">
        <v>451</v>
      </c>
      <c r="B34" s="3" t="s">
        <v>468</v>
      </c>
      <c r="C34" s="2" t="s">
        <v>481</v>
      </c>
      <c r="D34" s="2" t="s">
        <v>523</v>
      </c>
      <c r="E34" s="10" t="s">
        <v>452</v>
      </c>
      <c r="F34" s="10" t="s">
        <v>95</v>
      </c>
      <c r="G34" s="52" t="s">
        <v>88</v>
      </c>
      <c r="H34" s="77" t="s">
        <v>88</v>
      </c>
      <c r="I34" s="77" t="s">
        <v>88</v>
      </c>
      <c r="J34" s="77" t="s">
        <v>88</v>
      </c>
      <c r="K34" s="77" t="s">
        <v>88</v>
      </c>
      <c r="L34" s="77"/>
      <c r="M34" s="77" t="s">
        <v>88</v>
      </c>
      <c r="N34" s="77" t="s">
        <v>88</v>
      </c>
      <c r="O34" s="77" t="s">
        <v>88</v>
      </c>
      <c r="P34" s="77" t="s">
        <v>88</v>
      </c>
      <c r="Q34" s="77" t="s">
        <v>88</v>
      </c>
      <c r="R34" s="77" t="s">
        <v>88</v>
      </c>
      <c r="S34" s="77" t="s">
        <v>88</v>
      </c>
      <c r="T34" s="77" t="s">
        <v>88</v>
      </c>
      <c r="U34" s="77" t="s">
        <v>88</v>
      </c>
      <c r="V34" s="77" t="s">
        <v>88</v>
      </c>
      <c r="W34" s="77" t="s">
        <v>88</v>
      </c>
      <c r="X34" s="77"/>
      <c r="Y34" s="77" t="s">
        <v>88</v>
      </c>
      <c r="Z34" s="77" t="s">
        <v>88</v>
      </c>
      <c r="AA34" s="77" t="s">
        <v>88</v>
      </c>
      <c r="AB34" s="77" t="s">
        <v>88</v>
      </c>
      <c r="AD34" s="1" t="b">
        <f t="shared" si="0"/>
        <v>1</v>
      </c>
      <c r="AE34" s="77" t="s">
        <v>88</v>
      </c>
      <c r="AF34" s="77" t="s">
        <v>88</v>
      </c>
    </row>
    <row r="35" spans="1:32" x14ac:dyDescent="0.25">
      <c r="A35" s="13" t="s">
        <v>21</v>
      </c>
      <c r="B35" s="3" t="s">
        <v>468</v>
      </c>
      <c r="C35" s="2" t="s">
        <v>481</v>
      </c>
      <c r="D35" s="2" t="s">
        <v>523</v>
      </c>
      <c r="E35" s="14" t="s">
        <v>138</v>
      </c>
      <c r="F35" s="14" t="s">
        <v>95</v>
      </c>
      <c r="G35" s="42" t="s">
        <v>87</v>
      </c>
      <c r="H35" s="77" t="s">
        <v>87</v>
      </c>
      <c r="I35" s="77" t="s">
        <v>87</v>
      </c>
      <c r="J35" s="77" t="s">
        <v>87</v>
      </c>
      <c r="K35" s="77" t="s">
        <v>87</v>
      </c>
      <c r="L35" s="77"/>
      <c r="M35" s="77" t="s">
        <v>87</v>
      </c>
      <c r="N35" s="77" t="s">
        <v>87</v>
      </c>
      <c r="O35" s="77" t="s">
        <v>87</v>
      </c>
      <c r="P35" s="77" t="s">
        <v>87</v>
      </c>
      <c r="Q35" s="77" t="s">
        <v>87</v>
      </c>
      <c r="R35" s="77" t="s">
        <v>87</v>
      </c>
      <c r="S35" s="77" t="s">
        <v>87</v>
      </c>
      <c r="T35" s="77" t="s">
        <v>87</v>
      </c>
      <c r="U35" s="77" t="s">
        <v>87</v>
      </c>
      <c r="V35" s="77" t="s">
        <v>87</v>
      </c>
      <c r="W35" s="77" t="s">
        <v>87</v>
      </c>
      <c r="X35" s="77"/>
      <c r="Y35" s="77" t="s">
        <v>87</v>
      </c>
      <c r="Z35" s="77" t="s">
        <v>87</v>
      </c>
      <c r="AA35" s="77" t="s">
        <v>87</v>
      </c>
      <c r="AB35" s="77" t="s">
        <v>87</v>
      </c>
      <c r="AD35" s="1" t="b">
        <f t="shared" si="0"/>
        <v>1</v>
      </c>
      <c r="AE35" s="77" t="s">
        <v>87</v>
      </c>
      <c r="AF35" s="77" t="s">
        <v>87</v>
      </c>
    </row>
    <row r="36" spans="1:32" x14ac:dyDescent="0.25">
      <c r="A36" s="13" t="s">
        <v>22</v>
      </c>
      <c r="B36" s="3" t="s">
        <v>468</v>
      </c>
      <c r="C36" s="2" t="s">
        <v>481</v>
      </c>
      <c r="D36" s="2" t="s">
        <v>523</v>
      </c>
      <c r="E36" s="14" t="s">
        <v>125</v>
      </c>
      <c r="F36" s="14" t="s">
        <v>92</v>
      </c>
      <c r="G36" s="42" t="s">
        <v>383</v>
      </c>
      <c r="H36" s="85" t="s">
        <v>430</v>
      </c>
      <c r="I36" s="85" t="s">
        <v>430</v>
      </c>
      <c r="J36" s="85" t="s">
        <v>430</v>
      </c>
      <c r="K36" s="85" t="s">
        <v>430</v>
      </c>
      <c r="L36" s="85"/>
      <c r="M36" s="85" t="s">
        <v>430</v>
      </c>
      <c r="N36" s="85" t="s">
        <v>430</v>
      </c>
      <c r="O36" s="85" t="s">
        <v>430</v>
      </c>
      <c r="P36" s="85" t="s">
        <v>430</v>
      </c>
      <c r="Q36" s="85" t="s">
        <v>430</v>
      </c>
      <c r="R36" s="85" t="s">
        <v>430</v>
      </c>
      <c r="S36" s="85" t="s">
        <v>430</v>
      </c>
      <c r="T36" s="85" t="s">
        <v>430</v>
      </c>
      <c r="U36" s="85" t="s">
        <v>430</v>
      </c>
      <c r="V36" s="85" t="s">
        <v>430</v>
      </c>
      <c r="W36" s="85" t="s">
        <v>430</v>
      </c>
      <c r="X36" s="85"/>
      <c r="Y36" s="85" t="s">
        <v>430</v>
      </c>
      <c r="Z36" s="85" t="s">
        <v>430</v>
      </c>
      <c r="AA36" s="85" t="s">
        <v>430</v>
      </c>
      <c r="AB36" s="85" t="s">
        <v>430</v>
      </c>
      <c r="AD36" s="1" t="b">
        <f t="shared" si="0"/>
        <v>1</v>
      </c>
      <c r="AE36" s="85" t="s">
        <v>430</v>
      </c>
      <c r="AF36" s="85" t="s">
        <v>430</v>
      </c>
    </row>
    <row r="37" spans="1:32" x14ac:dyDescent="0.25">
      <c r="A37" s="13" t="s">
        <v>23</v>
      </c>
      <c r="B37" s="3" t="s">
        <v>468</v>
      </c>
      <c r="C37" s="2" t="s">
        <v>481</v>
      </c>
      <c r="D37" s="2" t="s">
        <v>523</v>
      </c>
      <c r="E37" s="14" t="s">
        <v>126</v>
      </c>
      <c r="F37" s="14" t="s">
        <v>100</v>
      </c>
      <c r="G37" s="42">
        <v>9.9999999999999995E-7</v>
      </c>
      <c r="H37" s="80">
        <v>9.9999999999999995E-7</v>
      </c>
      <c r="I37" s="80">
        <v>9.9999999999999995E-7</v>
      </c>
      <c r="J37" s="80">
        <v>9.9999999999999995E-7</v>
      </c>
      <c r="K37" s="80">
        <v>9.9999999999999995E-7</v>
      </c>
      <c r="L37" s="80"/>
      <c r="M37" s="80">
        <v>9.9999999999999995E-7</v>
      </c>
      <c r="N37" s="80">
        <v>9.9999999999999995E-7</v>
      </c>
      <c r="O37" s="80">
        <v>9.9999999999999995E-7</v>
      </c>
      <c r="P37" s="80">
        <v>9.9999999999999995E-7</v>
      </c>
      <c r="Q37" s="80">
        <v>9.9999999999999995E-7</v>
      </c>
      <c r="R37" s="80">
        <v>9.9999999999999995E-7</v>
      </c>
      <c r="S37" s="80">
        <v>9.9999999999999995E-7</v>
      </c>
      <c r="T37" s="80">
        <v>9.9999999999999995E-7</v>
      </c>
      <c r="U37" s="80">
        <v>9.9999999999999995E-7</v>
      </c>
      <c r="V37" s="80">
        <v>9.9999999999999995E-7</v>
      </c>
      <c r="W37" s="80">
        <v>9.9999999999999995E-7</v>
      </c>
      <c r="X37" s="80"/>
      <c r="Y37" s="80">
        <v>9.9999999999999995E-7</v>
      </c>
      <c r="Z37" s="80">
        <v>9.9999999999999995E-7</v>
      </c>
      <c r="AA37" s="80">
        <v>9.9999999999999995E-7</v>
      </c>
      <c r="AB37" s="80">
        <v>9.9999999999999995E-7</v>
      </c>
      <c r="AD37" s="1" t="b">
        <f t="shared" si="0"/>
        <v>1</v>
      </c>
      <c r="AE37" s="80">
        <v>9.9999999999999995E-7</v>
      </c>
      <c r="AF37" s="80">
        <v>9.9999999999999995E-7</v>
      </c>
    </row>
    <row r="38" spans="1:32" x14ac:dyDescent="0.25">
      <c r="A38" s="13" t="s">
        <v>24</v>
      </c>
      <c r="B38" s="3" t="s">
        <v>468</v>
      </c>
      <c r="C38" s="2" t="s">
        <v>481</v>
      </c>
      <c r="D38" s="2" t="s">
        <v>523</v>
      </c>
      <c r="E38" s="14" t="s">
        <v>127</v>
      </c>
      <c r="F38" s="14" t="s">
        <v>100</v>
      </c>
      <c r="G38" s="42">
        <v>2.0000000000000001E-4</v>
      </c>
      <c r="H38" s="86">
        <v>1E-3</v>
      </c>
      <c r="I38" s="86">
        <v>1E-3</v>
      </c>
      <c r="J38" s="86">
        <v>1E-3</v>
      </c>
      <c r="K38" s="86">
        <v>1E-3</v>
      </c>
      <c r="L38" s="86"/>
      <c r="M38" s="86">
        <v>1E-3</v>
      </c>
      <c r="N38" s="86">
        <v>1E-3</v>
      </c>
      <c r="O38" s="86">
        <v>1E-3</v>
      </c>
      <c r="P38" s="86">
        <v>1E-3</v>
      </c>
      <c r="Q38" s="86">
        <v>1E-3</v>
      </c>
      <c r="R38" s="86">
        <v>1E-3</v>
      </c>
      <c r="S38" s="86">
        <v>1E-3</v>
      </c>
      <c r="T38" s="86">
        <v>1E-3</v>
      </c>
      <c r="U38" s="86">
        <v>1E-3</v>
      </c>
      <c r="V38" s="86">
        <v>1E-3</v>
      </c>
      <c r="W38" s="86">
        <v>1E-3</v>
      </c>
      <c r="X38" s="86"/>
      <c r="Y38" s="86">
        <v>1E-3</v>
      </c>
      <c r="Z38" s="86">
        <v>1E-3</v>
      </c>
      <c r="AA38" s="86">
        <v>1E-3</v>
      </c>
      <c r="AB38" s="86">
        <v>1E-3</v>
      </c>
      <c r="AD38" s="1" t="b">
        <f t="shared" si="0"/>
        <v>1</v>
      </c>
      <c r="AE38" s="86">
        <v>1E-3</v>
      </c>
      <c r="AF38" s="86">
        <v>1E-3</v>
      </c>
    </row>
    <row r="39" spans="1:32" x14ac:dyDescent="0.25">
      <c r="A39" s="13" t="s">
        <v>25</v>
      </c>
      <c r="B39" s="3" t="s">
        <v>468</v>
      </c>
      <c r="C39" s="2" t="s">
        <v>481</v>
      </c>
      <c r="D39" s="2" t="s">
        <v>523</v>
      </c>
      <c r="E39" s="14" t="s">
        <v>139</v>
      </c>
      <c r="F39" s="14" t="s">
        <v>95</v>
      </c>
      <c r="G39" s="50" t="s">
        <v>87</v>
      </c>
      <c r="H39" s="77" t="s">
        <v>87</v>
      </c>
      <c r="I39" s="77" t="s">
        <v>87</v>
      </c>
      <c r="J39" s="77" t="s">
        <v>87</v>
      </c>
      <c r="K39" s="77" t="s">
        <v>87</v>
      </c>
      <c r="L39" s="77"/>
      <c r="M39" s="77" t="s">
        <v>87</v>
      </c>
      <c r="N39" s="77" t="s">
        <v>87</v>
      </c>
      <c r="O39" s="77" t="s">
        <v>87</v>
      </c>
      <c r="P39" s="77" t="s">
        <v>87</v>
      </c>
      <c r="Q39" s="77" t="s">
        <v>87</v>
      </c>
      <c r="R39" s="77" t="s">
        <v>87</v>
      </c>
      <c r="S39" s="77" t="s">
        <v>87</v>
      </c>
      <c r="T39" s="77" t="s">
        <v>87</v>
      </c>
      <c r="U39" s="77" t="s">
        <v>87</v>
      </c>
      <c r="V39" s="77" t="s">
        <v>87</v>
      </c>
      <c r="W39" s="77" t="s">
        <v>87</v>
      </c>
      <c r="X39" s="77"/>
      <c r="Y39" s="77" t="s">
        <v>87</v>
      </c>
      <c r="Z39" s="77" t="s">
        <v>87</v>
      </c>
      <c r="AA39" s="77" t="s">
        <v>87</v>
      </c>
      <c r="AB39" s="77" t="s">
        <v>87</v>
      </c>
      <c r="AD39" s="1" t="b">
        <f t="shared" si="0"/>
        <v>1</v>
      </c>
      <c r="AE39" s="77" t="s">
        <v>87</v>
      </c>
      <c r="AF39" s="77" t="s">
        <v>87</v>
      </c>
    </row>
    <row r="40" spans="1:32" x14ac:dyDescent="0.25">
      <c r="A40" s="13" t="s">
        <v>26</v>
      </c>
      <c r="B40" s="3" t="s">
        <v>468</v>
      </c>
      <c r="C40" s="2" t="s">
        <v>481</v>
      </c>
      <c r="D40" s="2" t="s">
        <v>523</v>
      </c>
      <c r="E40" s="14" t="s">
        <v>128</v>
      </c>
      <c r="F40" s="14" t="s">
        <v>92</v>
      </c>
      <c r="G40" s="50" t="s">
        <v>89</v>
      </c>
      <c r="H40" s="77" t="s">
        <v>89</v>
      </c>
      <c r="I40" s="77" t="s">
        <v>89</v>
      </c>
      <c r="J40" s="77" t="s">
        <v>89</v>
      </c>
      <c r="K40" s="77" t="s">
        <v>89</v>
      </c>
      <c r="L40" s="77"/>
      <c r="M40" s="77" t="s">
        <v>89</v>
      </c>
      <c r="N40" s="77" t="s">
        <v>89</v>
      </c>
      <c r="O40" s="77" t="s">
        <v>89</v>
      </c>
      <c r="P40" s="77" t="s">
        <v>89</v>
      </c>
      <c r="Q40" s="77" t="s">
        <v>89</v>
      </c>
      <c r="R40" s="77" t="s">
        <v>89</v>
      </c>
      <c r="S40" s="77" t="s">
        <v>89</v>
      </c>
      <c r="T40" s="77" t="s">
        <v>89</v>
      </c>
      <c r="U40" s="77" t="s">
        <v>89</v>
      </c>
      <c r="V40" s="77" t="s">
        <v>89</v>
      </c>
      <c r="W40" s="77" t="s">
        <v>89</v>
      </c>
      <c r="X40" s="77"/>
      <c r="Y40" s="77" t="s">
        <v>89</v>
      </c>
      <c r="Z40" s="77" t="s">
        <v>89</v>
      </c>
      <c r="AA40" s="77" t="s">
        <v>89</v>
      </c>
      <c r="AB40" s="77" t="s">
        <v>89</v>
      </c>
      <c r="AD40" s="1" t="b">
        <f t="shared" si="0"/>
        <v>1</v>
      </c>
      <c r="AE40" s="77" t="s">
        <v>89</v>
      </c>
      <c r="AF40" s="77" t="s">
        <v>89</v>
      </c>
    </row>
    <row r="41" spans="1:32" x14ac:dyDescent="0.25">
      <c r="A41" s="13" t="s">
        <v>27</v>
      </c>
      <c r="B41" s="3" t="s">
        <v>468</v>
      </c>
      <c r="C41" s="2" t="s">
        <v>481</v>
      </c>
      <c r="D41" s="2" t="s">
        <v>523</v>
      </c>
      <c r="E41" s="14" t="s">
        <v>129</v>
      </c>
      <c r="F41" s="14" t="s">
        <v>95</v>
      </c>
      <c r="G41" s="50" t="s">
        <v>87</v>
      </c>
      <c r="H41" s="77" t="s">
        <v>87</v>
      </c>
      <c r="I41" s="77" t="s">
        <v>87</v>
      </c>
      <c r="J41" s="77" t="s">
        <v>87</v>
      </c>
      <c r="K41" s="77" t="s">
        <v>87</v>
      </c>
      <c r="L41" s="77"/>
      <c r="M41" s="77" t="s">
        <v>87</v>
      </c>
      <c r="N41" s="77" t="s">
        <v>87</v>
      </c>
      <c r="O41" s="77" t="s">
        <v>87</v>
      </c>
      <c r="P41" s="77" t="s">
        <v>87</v>
      </c>
      <c r="Q41" s="77" t="s">
        <v>87</v>
      </c>
      <c r="R41" s="77" t="s">
        <v>87</v>
      </c>
      <c r="S41" s="77" t="s">
        <v>87</v>
      </c>
      <c r="T41" s="77" t="s">
        <v>87</v>
      </c>
      <c r="U41" s="77" t="s">
        <v>87</v>
      </c>
      <c r="V41" s="77" t="s">
        <v>87</v>
      </c>
      <c r="W41" s="77" t="s">
        <v>87</v>
      </c>
      <c r="X41" s="77"/>
      <c r="Y41" s="77" t="s">
        <v>87</v>
      </c>
      <c r="Z41" s="77" t="s">
        <v>87</v>
      </c>
      <c r="AA41" s="77" t="s">
        <v>87</v>
      </c>
      <c r="AB41" s="77" t="s">
        <v>87</v>
      </c>
      <c r="AD41" s="1" t="b">
        <f t="shared" si="0"/>
        <v>1</v>
      </c>
      <c r="AE41" s="77" t="s">
        <v>87</v>
      </c>
      <c r="AF41" s="77" t="s">
        <v>87</v>
      </c>
    </row>
    <row r="42" spans="1:32" x14ac:dyDescent="0.25">
      <c r="A42" s="13" t="s">
        <v>28</v>
      </c>
      <c r="B42" s="3" t="s">
        <v>468</v>
      </c>
      <c r="C42" s="2" t="s">
        <v>481</v>
      </c>
      <c r="D42" s="2" t="s">
        <v>523</v>
      </c>
      <c r="E42" s="14" t="s">
        <v>141</v>
      </c>
      <c r="F42" s="14" t="s">
        <v>95</v>
      </c>
      <c r="G42" s="50" t="s">
        <v>88</v>
      </c>
      <c r="H42" s="77" t="s">
        <v>88</v>
      </c>
      <c r="I42" s="77" t="s">
        <v>88</v>
      </c>
      <c r="J42" s="77" t="s">
        <v>88</v>
      </c>
      <c r="K42" s="77" t="s">
        <v>88</v>
      </c>
      <c r="L42" s="77"/>
      <c r="M42" s="77" t="s">
        <v>88</v>
      </c>
      <c r="N42" s="77" t="s">
        <v>88</v>
      </c>
      <c r="O42" s="77" t="s">
        <v>88</v>
      </c>
      <c r="P42" s="77" t="s">
        <v>88</v>
      </c>
      <c r="Q42" s="77" t="s">
        <v>88</v>
      </c>
      <c r="R42" s="77" t="s">
        <v>88</v>
      </c>
      <c r="S42" s="77" t="s">
        <v>88</v>
      </c>
      <c r="T42" s="77" t="s">
        <v>88</v>
      </c>
      <c r="U42" s="77" t="s">
        <v>88</v>
      </c>
      <c r="V42" s="77" t="s">
        <v>88</v>
      </c>
      <c r="W42" s="77" t="s">
        <v>88</v>
      </c>
      <c r="X42" s="77"/>
      <c r="Y42" s="77" t="s">
        <v>88</v>
      </c>
      <c r="Z42" s="77" t="s">
        <v>88</v>
      </c>
      <c r="AA42" s="77" t="s">
        <v>88</v>
      </c>
      <c r="AB42" s="77" t="s">
        <v>88</v>
      </c>
      <c r="AD42" s="1" t="b">
        <f t="shared" si="0"/>
        <v>1</v>
      </c>
      <c r="AE42" s="77" t="s">
        <v>88</v>
      </c>
      <c r="AF42" s="77" t="s">
        <v>88</v>
      </c>
    </row>
    <row r="43" spans="1:32" x14ac:dyDescent="0.25">
      <c r="A43" s="13" t="s">
        <v>29</v>
      </c>
      <c r="B43" s="3" t="s">
        <v>468</v>
      </c>
      <c r="C43" s="2" t="s">
        <v>481</v>
      </c>
      <c r="D43" s="2" t="s">
        <v>523</v>
      </c>
      <c r="E43" s="14" t="s">
        <v>142</v>
      </c>
      <c r="F43" s="14" t="s">
        <v>96</v>
      </c>
      <c r="G43" s="50">
        <v>120</v>
      </c>
      <c r="H43" s="77">
        <v>120</v>
      </c>
      <c r="I43" s="77">
        <v>120</v>
      </c>
      <c r="J43" s="77">
        <v>120</v>
      </c>
      <c r="K43" s="77">
        <v>120</v>
      </c>
      <c r="L43" s="77"/>
      <c r="M43" s="77">
        <v>120</v>
      </c>
      <c r="N43" s="77">
        <v>120</v>
      </c>
      <c r="O43" s="77">
        <v>120</v>
      </c>
      <c r="P43" s="77">
        <v>120</v>
      </c>
      <c r="Q43" s="77">
        <v>120</v>
      </c>
      <c r="R43" s="77">
        <v>120</v>
      </c>
      <c r="S43" s="77">
        <v>120</v>
      </c>
      <c r="T43" s="77">
        <v>120</v>
      </c>
      <c r="U43" s="77">
        <v>120</v>
      </c>
      <c r="V43" s="77">
        <v>120</v>
      </c>
      <c r="W43" s="77">
        <v>120</v>
      </c>
      <c r="X43" s="77"/>
      <c r="Y43" s="77">
        <v>120</v>
      </c>
      <c r="Z43" s="77">
        <v>120</v>
      </c>
      <c r="AA43" s="77">
        <v>120</v>
      </c>
      <c r="AB43" s="77">
        <v>120</v>
      </c>
      <c r="AD43" s="1" t="b">
        <f t="shared" si="0"/>
        <v>1</v>
      </c>
      <c r="AE43" s="77">
        <v>120</v>
      </c>
      <c r="AF43" s="77">
        <v>120</v>
      </c>
    </row>
    <row r="44" spans="1:32" x14ac:dyDescent="0.25">
      <c r="A44" s="13" t="s">
        <v>30</v>
      </c>
      <c r="B44" s="3" t="s">
        <v>468</v>
      </c>
      <c r="C44" s="2" t="s">
        <v>481</v>
      </c>
      <c r="D44" s="2" t="s">
        <v>523</v>
      </c>
      <c r="E44" s="14" t="s">
        <v>143</v>
      </c>
      <c r="F44" s="14" t="s">
        <v>99</v>
      </c>
      <c r="G44" s="50">
        <v>0</v>
      </c>
      <c r="H44" s="77">
        <v>0</v>
      </c>
      <c r="I44" s="77">
        <v>0</v>
      </c>
      <c r="J44" s="77">
        <v>0</v>
      </c>
      <c r="K44" s="77">
        <v>0</v>
      </c>
      <c r="L44" s="77"/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/>
      <c r="Y44" s="77">
        <v>0</v>
      </c>
      <c r="Z44" s="77">
        <v>0</v>
      </c>
      <c r="AA44" s="77">
        <v>0</v>
      </c>
      <c r="AB44" s="77">
        <v>0</v>
      </c>
      <c r="AD44" s="1" t="b">
        <f t="shared" si="0"/>
        <v>1</v>
      </c>
      <c r="AE44" s="77">
        <v>0</v>
      </c>
      <c r="AF44" s="77">
        <v>0</v>
      </c>
    </row>
    <row r="45" spans="1:32" x14ac:dyDescent="0.25">
      <c r="A45" s="13" t="s">
        <v>31</v>
      </c>
      <c r="B45" s="3" t="s">
        <v>468</v>
      </c>
      <c r="C45" s="2" t="s">
        <v>481</v>
      </c>
      <c r="D45" s="2" t="s">
        <v>523</v>
      </c>
      <c r="E45" s="14" t="s">
        <v>144</v>
      </c>
      <c r="F45" s="14" t="s">
        <v>99</v>
      </c>
      <c r="G45" s="50">
        <v>0</v>
      </c>
      <c r="H45" s="77">
        <v>0</v>
      </c>
      <c r="I45" s="77">
        <v>0</v>
      </c>
      <c r="J45" s="77">
        <v>0</v>
      </c>
      <c r="K45" s="77">
        <v>0</v>
      </c>
      <c r="L45" s="77"/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/>
      <c r="Y45" s="77">
        <v>0</v>
      </c>
      <c r="Z45" s="77">
        <v>0</v>
      </c>
      <c r="AA45" s="77">
        <v>0</v>
      </c>
      <c r="AB45" s="77">
        <v>0</v>
      </c>
      <c r="AD45" s="1" t="b">
        <f t="shared" si="0"/>
        <v>1</v>
      </c>
      <c r="AE45" s="77">
        <v>0</v>
      </c>
      <c r="AF45" s="77">
        <v>0</v>
      </c>
    </row>
    <row r="46" spans="1:32" x14ac:dyDescent="0.25">
      <c r="A46" s="13" t="s">
        <v>32</v>
      </c>
      <c r="B46" s="3" t="s">
        <v>468</v>
      </c>
      <c r="C46" s="2" t="s">
        <v>481</v>
      </c>
      <c r="D46" s="2" t="s">
        <v>523</v>
      </c>
      <c r="E46" s="14" t="s">
        <v>145</v>
      </c>
      <c r="F46" s="14" t="s">
        <v>99</v>
      </c>
      <c r="G46" s="50">
        <v>-0.1</v>
      </c>
      <c r="H46" s="77">
        <v>-0.1</v>
      </c>
      <c r="I46" s="77">
        <v>-0.1</v>
      </c>
      <c r="J46" s="77">
        <v>-0.1</v>
      </c>
      <c r="K46" s="77">
        <v>-0.1</v>
      </c>
      <c r="L46" s="77"/>
      <c r="M46" s="77">
        <v>-0.1</v>
      </c>
      <c r="N46" s="77">
        <v>-0.1</v>
      </c>
      <c r="O46" s="77">
        <v>-0.1</v>
      </c>
      <c r="P46" s="77">
        <v>-0.1</v>
      </c>
      <c r="Q46" s="77">
        <v>-0.1</v>
      </c>
      <c r="R46" s="77">
        <v>-0.1</v>
      </c>
      <c r="S46" s="77">
        <v>-0.1</v>
      </c>
      <c r="T46" s="77">
        <v>-0.1</v>
      </c>
      <c r="U46" s="77">
        <v>-0.1</v>
      </c>
      <c r="V46" s="77">
        <v>-0.1</v>
      </c>
      <c r="W46" s="77">
        <v>-0.1</v>
      </c>
      <c r="X46" s="77"/>
      <c r="Y46" s="77">
        <v>-0.1</v>
      </c>
      <c r="Z46" s="77">
        <v>-0.1</v>
      </c>
      <c r="AA46" s="77">
        <v>-0.1</v>
      </c>
      <c r="AB46" s="77">
        <v>-0.1</v>
      </c>
      <c r="AD46" s="1" t="b">
        <f t="shared" si="0"/>
        <v>1</v>
      </c>
      <c r="AE46" s="77">
        <v>-0.1</v>
      </c>
      <c r="AF46" s="77">
        <v>-0.1</v>
      </c>
    </row>
    <row r="47" spans="1:32" x14ac:dyDescent="0.25">
      <c r="A47" s="13" t="s">
        <v>33</v>
      </c>
      <c r="B47" s="3" t="s">
        <v>468</v>
      </c>
      <c r="C47" s="2" t="s">
        <v>481</v>
      </c>
      <c r="D47" s="2" t="s">
        <v>523</v>
      </c>
      <c r="E47" s="14" t="s">
        <v>146</v>
      </c>
      <c r="F47" s="14" t="s">
        <v>99</v>
      </c>
      <c r="G47" s="50">
        <v>-0.2</v>
      </c>
      <c r="H47" s="77">
        <v>-0.2</v>
      </c>
      <c r="I47" s="77">
        <v>-0.2</v>
      </c>
      <c r="J47" s="77">
        <v>-0.2</v>
      </c>
      <c r="K47" s="77">
        <v>-0.2</v>
      </c>
      <c r="L47" s="77"/>
      <c r="M47" s="77">
        <v>-0.2</v>
      </c>
      <c r="N47" s="77">
        <v>-0.2</v>
      </c>
      <c r="O47" s="77">
        <v>-0.2</v>
      </c>
      <c r="P47" s="77">
        <v>-0.2</v>
      </c>
      <c r="Q47" s="77">
        <v>-0.2</v>
      </c>
      <c r="R47" s="77">
        <v>-0.2</v>
      </c>
      <c r="S47" s="77">
        <v>-0.2</v>
      </c>
      <c r="T47" s="77">
        <v>-0.2</v>
      </c>
      <c r="U47" s="77">
        <v>-0.2</v>
      </c>
      <c r="V47" s="77">
        <v>-0.2</v>
      </c>
      <c r="W47" s="77">
        <v>-0.2</v>
      </c>
      <c r="X47" s="77"/>
      <c r="Y47" s="77">
        <v>-0.2</v>
      </c>
      <c r="Z47" s="77">
        <v>-0.2</v>
      </c>
      <c r="AA47" s="77">
        <v>-0.2</v>
      </c>
      <c r="AB47" s="77">
        <v>-0.2</v>
      </c>
      <c r="AD47" s="1" t="b">
        <f t="shared" si="0"/>
        <v>1</v>
      </c>
      <c r="AE47" s="77">
        <v>-0.2</v>
      </c>
      <c r="AF47" s="77">
        <v>-0.2</v>
      </c>
    </row>
    <row r="48" spans="1:32" x14ac:dyDescent="0.25">
      <c r="A48" s="13" t="s">
        <v>34</v>
      </c>
      <c r="B48" s="3" t="s">
        <v>468</v>
      </c>
      <c r="C48" s="2" t="s">
        <v>481</v>
      </c>
      <c r="D48" s="2" t="s">
        <v>523</v>
      </c>
      <c r="E48" s="14" t="s">
        <v>147</v>
      </c>
      <c r="F48" s="14" t="s">
        <v>99</v>
      </c>
      <c r="G48" s="50">
        <v>0.4</v>
      </c>
      <c r="H48" s="77">
        <v>0.4</v>
      </c>
      <c r="I48" s="77">
        <v>0.4</v>
      </c>
      <c r="J48" s="77">
        <v>0.4</v>
      </c>
      <c r="K48" s="77">
        <v>0.4</v>
      </c>
      <c r="L48" s="77"/>
      <c r="M48" s="77">
        <v>0.4</v>
      </c>
      <c r="N48" s="77">
        <v>0.4</v>
      </c>
      <c r="O48" s="77">
        <v>0.4</v>
      </c>
      <c r="P48" s="77">
        <v>0.4</v>
      </c>
      <c r="Q48" s="77">
        <v>0.4</v>
      </c>
      <c r="R48" s="77">
        <v>0.4</v>
      </c>
      <c r="S48" s="77">
        <v>0.4</v>
      </c>
      <c r="T48" s="77">
        <v>0.4</v>
      </c>
      <c r="U48" s="77">
        <v>0.4</v>
      </c>
      <c r="V48" s="77">
        <v>0.4</v>
      </c>
      <c r="W48" s="77">
        <v>0.4</v>
      </c>
      <c r="X48" s="77"/>
      <c r="Y48" s="77">
        <v>0.4</v>
      </c>
      <c r="Z48" s="77">
        <v>0.4</v>
      </c>
      <c r="AA48" s="77">
        <v>0.4</v>
      </c>
      <c r="AB48" s="77">
        <v>0.4</v>
      </c>
      <c r="AD48" s="1" t="b">
        <f t="shared" si="0"/>
        <v>1</v>
      </c>
      <c r="AE48" s="77">
        <v>0.4</v>
      </c>
      <c r="AF48" s="77">
        <v>0.4</v>
      </c>
    </row>
    <row r="49" spans="1:32" x14ac:dyDescent="0.25">
      <c r="A49" s="13" t="s">
        <v>35</v>
      </c>
      <c r="B49" s="3" t="s">
        <v>468</v>
      </c>
      <c r="C49" s="2" t="s">
        <v>481</v>
      </c>
      <c r="D49" s="2" t="s">
        <v>523</v>
      </c>
      <c r="E49" s="14" t="s">
        <v>148</v>
      </c>
      <c r="F49" s="14" t="s">
        <v>102</v>
      </c>
      <c r="G49" s="50">
        <v>0</v>
      </c>
      <c r="H49" s="77">
        <v>0</v>
      </c>
      <c r="I49" s="77">
        <v>0</v>
      </c>
      <c r="J49" s="77">
        <v>0</v>
      </c>
      <c r="K49" s="77">
        <v>0</v>
      </c>
      <c r="L49" s="77"/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/>
      <c r="Y49" s="77">
        <v>0</v>
      </c>
      <c r="Z49" s="77">
        <v>0</v>
      </c>
      <c r="AA49" s="77">
        <v>0</v>
      </c>
      <c r="AB49" s="77">
        <v>0</v>
      </c>
      <c r="AD49" s="1" t="b">
        <f t="shared" si="0"/>
        <v>1</v>
      </c>
      <c r="AE49" s="77">
        <v>0</v>
      </c>
      <c r="AF49" s="77">
        <v>0</v>
      </c>
    </row>
    <row r="50" spans="1:32" x14ac:dyDescent="0.25">
      <c r="A50" s="13" t="s">
        <v>431</v>
      </c>
      <c r="B50" s="3" t="s">
        <v>468</v>
      </c>
      <c r="C50" s="2" t="s">
        <v>481</v>
      </c>
      <c r="D50" s="2" t="s">
        <v>523</v>
      </c>
      <c r="E50" s="14" t="s">
        <v>433</v>
      </c>
      <c r="F50" s="14" t="s">
        <v>96</v>
      </c>
      <c r="G50" s="50">
        <v>1200</v>
      </c>
      <c r="H50" s="77">
        <v>1200</v>
      </c>
      <c r="I50" s="77">
        <v>1200</v>
      </c>
      <c r="J50" s="77">
        <v>1200</v>
      </c>
      <c r="K50" s="77">
        <v>1200</v>
      </c>
      <c r="L50" s="77"/>
      <c r="M50" s="77">
        <v>1200</v>
      </c>
      <c r="N50" s="77">
        <v>1200</v>
      </c>
      <c r="O50" s="77">
        <v>1200</v>
      </c>
      <c r="P50" s="77">
        <v>1200</v>
      </c>
      <c r="Q50" s="77">
        <v>1200</v>
      </c>
      <c r="R50" s="77">
        <v>1200</v>
      </c>
      <c r="S50" s="77">
        <v>1200</v>
      </c>
      <c r="T50" s="77">
        <v>1200</v>
      </c>
      <c r="U50" s="77">
        <v>1200</v>
      </c>
      <c r="V50" s="77">
        <v>1200</v>
      </c>
      <c r="W50" s="77">
        <v>1200</v>
      </c>
      <c r="X50" s="77"/>
      <c r="Y50" s="77">
        <v>1200</v>
      </c>
      <c r="Z50" s="77">
        <v>1200</v>
      </c>
      <c r="AA50" s="77">
        <v>1200</v>
      </c>
      <c r="AB50" s="77">
        <v>1200</v>
      </c>
      <c r="AD50" s="1" t="b">
        <f t="shared" si="0"/>
        <v>1</v>
      </c>
      <c r="AE50" s="77">
        <v>1200</v>
      </c>
      <c r="AF50" s="77">
        <v>1200</v>
      </c>
    </row>
    <row r="51" spans="1:32" x14ac:dyDescent="0.25">
      <c r="A51" s="13" t="s">
        <v>432</v>
      </c>
      <c r="B51" s="3" t="s">
        <v>468</v>
      </c>
      <c r="C51" s="2" t="s">
        <v>481</v>
      </c>
      <c r="D51" s="2" t="s">
        <v>523</v>
      </c>
      <c r="E51" s="14" t="s">
        <v>434</v>
      </c>
      <c r="F51" s="14" t="s">
        <v>96</v>
      </c>
      <c r="G51" s="50">
        <v>1200</v>
      </c>
      <c r="H51" s="77">
        <v>1200</v>
      </c>
      <c r="I51" s="77">
        <v>1200</v>
      </c>
      <c r="J51" s="77">
        <v>1200</v>
      </c>
      <c r="K51" s="77">
        <v>1200</v>
      </c>
      <c r="L51" s="77"/>
      <c r="M51" s="77">
        <v>1200</v>
      </c>
      <c r="N51" s="77">
        <v>1200</v>
      </c>
      <c r="O51" s="77">
        <v>1200</v>
      </c>
      <c r="P51" s="77">
        <v>1200</v>
      </c>
      <c r="Q51" s="77">
        <v>1200</v>
      </c>
      <c r="R51" s="77">
        <v>1200</v>
      </c>
      <c r="S51" s="77">
        <v>1200</v>
      </c>
      <c r="T51" s="77">
        <v>1200</v>
      </c>
      <c r="U51" s="77">
        <v>1200</v>
      </c>
      <c r="V51" s="77">
        <v>1200</v>
      </c>
      <c r="W51" s="77">
        <v>1200</v>
      </c>
      <c r="X51" s="77"/>
      <c r="Y51" s="77">
        <v>1200</v>
      </c>
      <c r="Z51" s="77">
        <v>1200</v>
      </c>
      <c r="AA51" s="77">
        <v>1200</v>
      </c>
      <c r="AB51" s="77">
        <v>1200</v>
      </c>
      <c r="AD51" s="1" t="b">
        <f t="shared" si="0"/>
        <v>1</v>
      </c>
      <c r="AE51" s="77">
        <v>1200</v>
      </c>
      <c r="AF51" s="77">
        <v>1200</v>
      </c>
    </row>
    <row r="52" spans="1:32" x14ac:dyDescent="0.25">
      <c r="A52" s="13" t="s">
        <v>454</v>
      </c>
      <c r="B52" s="3" t="s">
        <v>468</v>
      </c>
      <c r="C52" s="2" t="s">
        <v>481</v>
      </c>
      <c r="D52" s="2" t="s">
        <v>523</v>
      </c>
      <c r="E52" s="14" t="s">
        <v>455</v>
      </c>
      <c r="F52" s="14" t="s">
        <v>456</v>
      </c>
      <c r="G52" s="50" t="s">
        <v>457</v>
      </c>
      <c r="H52" s="35" t="s">
        <v>457</v>
      </c>
      <c r="I52" s="35" t="s">
        <v>457</v>
      </c>
      <c r="J52" s="35" t="s">
        <v>457</v>
      </c>
      <c r="K52" s="35" t="s">
        <v>457</v>
      </c>
      <c r="L52" s="35"/>
      <c r="M52" s="35" t="s">
        <v>457</v>
      </c>
      <c r="N52" s="35" t="s">
        <v>457</v>
      </c>
      <c r="O52" s="35" t="s">
        <v>457</v>
      </c>
      <c r="P52" s="35" t="s">
        <v>457</v>
      </c>
      <c r="Q52" s="35" t="s">
        <v>457</v>
      </c>
      <c r="R52" s="35" t="s">
        <v>457</v>
      </c>
      <c r="S52" s="35" t="s">
        <v>457</v>
      </c>
      <c r="T52" s="35" t="s">
        <v>457</v>
      </c>
      <c r="U52" s="35" t="s">
        <v>457</v>
      </c>
      <c r="V52" s="35" t="s">
        <v>457</v>
      </c>
      <c r="W52" s="35" t="s">
        <v>457</v>
      </c>
      <c r="X52" s="35"/>
      <c r="Y52" s="35" t="s">
        <v>457</v>
      </c>
      <c r="Z52" s="35" t="s">
        <v>457</v>
      </c>
      <c r="AA52" s="35" t="s">
        <v>457</v>
      </c>
      <c r="AB52" s="35" t="s">
        <v>457</v>
      </c>
      <c r="AD52" s="1" t="b">
        <f t="shared" si="0"/>
        <v>1</v>
      </c>
      <c r="AE52" s="35" t="s">
        <v>457</v>
      </c>
      <c r="AF52" s="35" t="s">
        <v>457</v>
      </c>
    </row>
    <row r="53" spans="1:32" x14ac:dyDescent="0.25">
      <c r="A53" s="13" t="s">
        <v>15</v>
      </c>
      <c r="B53" s="3" t="s">
        <v>468</v>
      </c>
      <c r="C53" s="2" t="s">
        <v>481</v>
      </c>
      <c r="D53" s="2" t="s">
        <v>523</v>
      </c>
      <c r="E53" s="14" t="s">
        <v>136</v>
      </c>
      <c r="F53" s="14" t="s">
        <v>95</v>
      </c>
      <c r="G53" s="50" t="s">
        <v>87</v>
      </c>
      <c r="H53" s="77" t="s">
        <v>87</v>
      </c>
      <c r="I53" s="77" t="s">
        <v>87</v>
      </c>
      <c r="J53" s="77" t="s">
        <v>87</v>
      </c>
      <c r="K53" s="77" t="s">
        <v>87</v>
      </c>
      <c r="L53" s="77"/>
      <c r="M53" s="77" t="s">
        <v>87</v>
      </c>
      <c r="N53" s="77" t="s">
        <v>87</v>
      </c>
      <c r="O53" s="77" t="s">
        <v>87</v>
      </c>
      <c r="P53" s="77" t="s">
        <v>87</v>
      </c>
      <c r="Q53" s="77" t="s">
        <v>87</v>
      </c>
      <c r="R53" s="77" t="s">
        <v>87</v>
      </c>
      <c r="S53" s="77" t="s">
        <v>87</v>
      </c>
      <c r="T53" s="77" t="s">
        <v>87</v>
      </c>
      <c r="U53" s="77" t="s">
        <v>87</v>
      </c>
      <c r="V53" s="77" t="s">
        <v>87</v>
      </c>
      <c r="W53" s="77" t="s">
        <v>87</v>
      </c>
      <c r="X53" s="77"/>
      <c r="Y53" s="77" t="s">
        <v>87</v>
      </c>
      <c r="Z53" s="77" t="s">
        <v>87</v>
      </c>
      <c r="AA53" s="77" t="s">
        <v>87</v>
      </c>
      <c r="AB53" s="77" t="s">
        <v>87</v>
      </c>
      <c r="AD53" s="1" t="b">
        <f t="shared" si="0"/>
        <v>1</v>
      </c>
      <c r="AE53" s="77" t="s">
        <v>87</v>
      </c>
      <c r="AF53" s="77" t="s">
        <v>87</v>
      </c>
    </row>
    <row r="54" spans="1:32" x14ac:dyDescent="0.25">
      <c r="A54" s="11" t="s">
        <v>16</v>
      </c>
      <c r="B54" s="3" t="s">
        <v>468</v>
      </c>
      <c r="C54" s="2" t="s">
        <v>481</v>
      </c>
      <c r="D54" s="2" t="s">
        <v>523</v>
      </c>
      <c r="E54" s="12" t="s">
        <v>137</v>
      </c>
      <c r="F54" s="12" t="s">
        <v>95</v>
      </c>
      <c r="G54" s="55" t="s">
        <v>87</v>
      </c>
      <c r="H54" s="77" t="s">
        <v>87</v>
      </c>
      <c r="I54" s="77" t="s">
        <v>87</v>
      </c>
      <c r="J54" s="77" t="s">
        <v>87</v>
      </c>
      <c r="K54" s="77" t="s">
        <v>87</v>
      </c>
      <c r="L54" s="77"/>
      <c r="M54" s="77" t="s">
        <v>87</v>
      </c>
      <c r="N54" s="77" t="s">
        <v>87</v>
      </c>
      <c r="O54" s="77" t="s">
        <v>87</v>
      </c>
      <c r="P54" s="77" t="s">
        <v>87</v>
      </c>
      <c r="Q54" s="77" t="s">
        <v>87</v>
      </c>
      <c r="R54" s="77" t="s">
        <v>87</v>
      </c>
      <c r="S54" s="77" t="s">
        <v>87</v>
      </c>
      <c r="T54" s="77" t="s">
        <v>87</v>
      </c>
      <c r="U54" s="77" t="s">
        <v>87</v>
      </c>
      <c r="V54" s="77" t="s">
        <v>87</v>
      </c>
      <c r="W54" s="77" t="s">
        <v>87</v>
      </c>
      <c r="X54" s="77"/>
      <c r="Y54" s="77" t="s">
        <v>87</v>
      </c>
      <c r="Z54" s="77" t="s">
        <v>87</v>
      </c>
      <c r="AA54" s="77" t="s">
        <v>87</v>
      </c>
      <c r="AB54" s="77" t="s">
        <v>87</v>
      </c>
      <c r="AD54" s="1" t="b">
        <f t="shared" si="0"/>
        <v>1</v>
      </c>
      <c r="AE54" s="77" t="s">
        <v>87</v>
      </c>
      <c r="AF54" s="77" t="s">
        <v>87</v>
      </c>
    </row>
    <row r="55" spans="1:32" x14ac:dyDescent="0.25">
      <c r="A55" s="11" t="s">
        <v>17</v>
      </c>
      <c r="B55" s="3" t="s">
        <v>468</v>
      </c>
      <c r="C55" s="2" t="s">
        <v>481</v>
      </c>
      <c r="D55" s="2" t="s">
        <v>523</v>
      </c>
      <c r="E55" s="12" t="s">
        <v>121</v>
      </c>
      <c r="F55" s="12" t="s">
        <v>99</v>
      </c>
      <c r="G55" s="55">
        <v>0</v>
      </c>
      <c r="H55" s="77">
        <v>0</v>
      </c>
      <c r="I55" s="77">
        <v>0</v>
      </c>
      <c r="J55" s="77">
        <v>0</v>
      </c>
      <c r="K55" s="77">
        <v>0</v>
      </c>
      <c r="L55" s="77"/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/>
      <c r="Y55" s="77">
        <v>0</v>
      </c>
      <c r="Z55" s="77">
        <v>0</v>
      </c>
      <c r="AA55" s="77">
        <v>0</v>
      </c>
      <c r="AB55" s="77">
        <v>0</v>
      </c>
      <c r="AD55" s="1" t="b">
        <f t="shared" si="0"/>
        <v>1</v>
      </c>
      <c r="AE55" s="77">
        <v>0</v>
      </c>
      <c r="AF55" s="77">
        <v>0</v>
      </c>
    </row>
    <row r="56" spans="1:32" x14ac:dyDescent="0.25">
      <c r="A56" s="11" t="s">
        <v>18</v>
      </c>
      <c r="B56" s="3" t="s">
        <v>468</v>
      </c>
      <c r="C56" s="2" t="s">
        <v>481</v>
      </c>
      <c r="D56" s="2" t="s">
        <v>523</v>
      </c>
      <c r="E56" s="12" t="s">
        <v>122</v>
      </c>
      <c r="F56" s="12" t="s">
        <v>99</v>
      </c>
      <c r="G56" s="55">
        <v>0.5</v>
      </c>
      <c r="H56" s="77">
        <v>0.5</v>
      </c>
      <c r="I56" s="77">
        <v>0.5</v>
      </c>
      <c r="J56" s="77">
        <v>0.5</v>
      </c>
      <c r="K56" s="77">
        <v>0.5</v>
      </c>
      <c r="L56" s="77"/>
      <c r="M56" s="77">
        <v>0.5</v>
      </c>
      <c r="N56" s="77">
        <v>0.5</v>
      </c>
      <c r="O56" s="77">
        <v>0.5</v>
      </c>
      <c r="P56" s="77">
        <v>0.5</v>
      </c>
      <c r="Q56" s="77">
        <v>0.5</v>
      </c>
      <c r="R56" s="77">
        <v>0.5</v>
      </c>
      <c r="S56" s="77">
        <v>0.5</v>
      </c>
      <c r="T56" s="77">
        <v>0.5</v>
      </c>
      <c r="U56" s="77">
        <v>0.5</v>
      </c>
      <c r="V56" s="77">
        <v>0.5</v>
      </c>
      <c r="W56" s="77">
        <v>0.5</v>
      </c>
      <c r="X56" s="77"/>
      <c r="Y56" s="77">
        <v>0.5</v>
      </c>
      <c r="Z56" s="77">
        <v>0.5</v>
      </c>
      <c r="AA56" s="77">
        <v>0.5</v>
      </c>
      <c r="AB56" s="77">
        <v>0.5</v>
      </c>
      <c r="AD56" s="1" t="b">
        <f t="shared" si="0"/>
        <v>1</v>
      </c>
      <c r="AE56" s="77">
        <v>0.5</v>
      </c>
      <c r="AF56" s="77">
        <v>0.5</v>
      </c>
    </row>
    <row r="57" spans="1:32" x14ac:dyDescent="0.25">
      <c r="A57" s="11" t="s">
        <v>19</v>
      </c>
      <c r="B57" s="3" t="s">
        <v>468</v>
      </c>
      <c r="C57" s="2" t="s">
        <v>481</v>
      </c>
      <c r="D57" s="2" t="s">
        <v>523</v>
      </c>
      <c r="E57" s="12" t="s">
        <v>123</v>
      </c>
      <c r="F57" s="12" t="s">
        <v>99</v>
      </c>
      <c r="G57" s="55">
        <v>0.05</v>
      </c>
      <c r="H57" s="77">
        <v>0.05</v>
      </c>
      <c r="I57" s="77">
        <v>0.05</v>
      </c>
      <c r="J57" s="77">
        <v>0.05</v>
      </c>
      <c r="K57" s="77">
        <v>0.05</v>
      </c>
      <c r="L57" s="77"/>
      <c r="M57" s="77">
        <v>0.05</v>
      </c>
      <c r="N57" s="77">
        <v>0.05</v>
      </c>
      <c r="O57" s="77">
        <v>0.05</v>
      </c>
      <c r="P57" s="77">
        <v>0.05</v>
      </c>
      <c r="Q57" s="77">
        <v>0.05</v>
      </c>
      <c r="R57" s="77">
        <v>0.05</v>
      </c>
      <c r="S57" s="77">
        <v>0.05</v>
      </c>
      <c r="T57" s="77">
        <v>0.05</v>
      </c>
      <c r="U57" s="77">
        <v>0.05</v>
      </c>
      <c r="V57" s="77">
        <v>0.05</v>
      </c>
      <c r="W57" s="77">
        <v>0.05</v>
      </c>
      <c r="X57" s="77"/>
      <c r="Y57" s="77">
        <v>0.05</v>
      </c>
      <c r="Z57" s="77">
        <v>0.05</v>
      </c>
      <c r="AA57" s="77">
        <v>0.05</v>
      </c>
      <c r="AB57" s="77">
        <v>0.05</v>
      </c>
      <c r="AD57" s="1" t="b">
        <f t="shared" si="0"/>
        <v>1</v>
      </c>
      <c r="AE57" s="77">
        <v>0.05</v>
      </c>
      <c r="AF57" s="77">
        <v>0.05</v>
      </c>
    </row>
    <row r="58" spans="1:32" x14ac:dyDescent="0.25">
      <c r="A58" s="15" t="s">
        <v>36</v>
      </c>
      <c r="B58" s="3" t="s">
        <v>468</v>
      </c>
      <c r="C58" s="2" t="s">
        <v>481</v>
      </c>
      <c r="D58" s="2" t="s">
        <v>523</v>
      </c>
      <c r="E58" s="16" t="s">
        <v>149</v>
      </c>
      <c r="F58" s="16" t="s">
        <v>99</v>
      </c>
      <c r="G58" s="56">
        <v>1E-3</v>
      </c>
      <c r="H58" s="80">
        <v>1E-3</v>
      </c>
      <c r="I58" s="80">
        <v>1E-3</v>
      </c>
      <c r="J58" s="80">
        <v>1E-3</v>
      </c>
      <c r="K58" s="80">
        <v>1E-3</v>
      </c>
      <c r="L58" s="80"/>
      <c r="M58" s="80">
        <v>1E-3</v>
      </c>
      <c r="N58" s="80">
        <v>1E-3</v>
      </c>
      <c r="O58" s="80">
        <v>1E-3</v>
      </c>
      <c r="P58" s="80">
        <v>1E-3</v>
      </c>
      <c r="Q58" s="80">
        <v>1E-3</v>
      </c>
      <c r="R58" s="80">
        <v>1E-3</v>
      </c>
      <c r="S58" s="80">
        <v>1E-3</v>
      </c>
      <c r="T58" s="80">
        <v>1E-3</v>
      </c>
      <c r="U58" s="80">
        <v>1E-3</v>
      </c>
      <c r="V58" s="80">
        <v>1E-3</v>
      </c>
      <c r="W58" s="80">
        <v>1E-3</v>
      </c>
      <c r="X58" s="80"/>
      <c r="Y58" s="80">
        <v>1E-3</v>
      </c>
      <c r="Z58" s="80">
        <v>1E-3</v>
      </c>
      <c r="AA58" s="80">
        <v>1E-3</v>
      </c>
      <c r="AB58" s="80">
        <v>1E-3</v>
      </c>
      <c r="AD58" s="1" t="b">
        <f t="shared" si="0"/>
        <v>1</v>
      </c>
      <c r="AE58" s="80">
        <v>1E-3</v>
      </c>
      <c r="AF58" s="80">
        <v>1E-3</v>
      </c>
    </row>
    <row r="59" spans="1:32" x14ac:dyDescent="0.25">
      <c r="A59" s="15" t="s">
        <v>380</v>
      </c>
      <c r="B59" s="3" t="s">
        <v>468</v>
      </c>
      <c r="C59" s="2" t="s">
        <v>481</v>
      </c>
      <c r="D59" s="2" t="s">
        <v>523</v>
      </c>
      <c r="E59" s="16" t="s">
        <v>381</v>
      </c>
      <c r="F59" s="16" t="s">
        <v>99</v>
      </c>
      <c r="G59" s="56">
        <v>0</v>
      </c>
      <c r="H59" s="77">
        <v>0</v>
      </c>
      <c r="I59" s="77">
        <v>0</v>
      </c>
      <c r="J59" s="77">
        <v>0</v>
      </c>
      <c r="K59" s="77">
        <v>0</v>
      </c>
      <c r="L59" s="77"/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0</v>
      </c>
      <c r="X59" s="77"/>
      <c r="Y59" s="77">
        <v>0</v>
      </c>
      <c r="Z59" s="77">
        <v>0</v>
      </c>
      <c r="AA59" s="77">
        <v>0</v>
      </c>
      <c r="AB59" s="77">
        <v>0</v>
      </c>
      <c r="AD59" s="1" t="b">
        <f t="shared" si="0"/>
        <v>1</v>
      </c>
      <c r="AE59" s="77">
        <v>0</v>
      </c>
      <c r="AF59" s="77">
        <v>0</v>
      </c>
    </row>
    <row r="60" spans="1:32" x14ac:dyDescent="0.25">
      <c r="A60" s="15" t="s">
        <v>37</v>
      </c>
      <c r="B60" s="3" t="s">
        <v>468</v>
      </c>
      <c r="C60" s="2" t="s">
        <v>481</v>
      </c>
      <c r="D60" s="2" t="s">
        <v>523</v>
      </c>
      <c r="E60" s="16" t="s">
        <v>150</v>
      </c>
      <c r="F60" s="16" t="s">
        <v>196</v>
      </c>
      <c r="G60" s="44">
        <v>1E-4</v>
      </c>
      <c r="H60" s="77">
        <v>1E-4</v>
      </c>
      <c r="I60" s="77">
        <v>1E-4</v>
      </c>
      <c r="J60" s="77">
        <v>1E-4</v>
      </c>
      <c r="K60" s="77">
        <v>1E-4</v>
      </c>
      <c r="L60" s="77"/>
      <c r="M60" s="77">
        <v>1E-4</v>
      </c>
      <c r="N60" s="77">
        <v>1E-4</v>
      </c>
      <c r="O60" s="77">
        <v>1E-4</v>
      </c>
      <c r="P60" s="77">
        <v>1E-4</v>
      </c>
      <c r="Q60" s="77">
        <v>1E-4</v>
      </c>
      <c r="R60" s="77">
        <v>1E-4</v>
      </c>
      <c r="S60" s="77">
        <v>1E-4</v>
      </c>
      <c r="T60" s="77">
        <v>1E-4</v>
      </c>
      <c r="U60" s="77">
        <v>1E-4</v>
      </c>
      <c r="V60" s="77">
        <v>1E-4</v>
      </c>
      <c r="W60" s="77">
        <v>1E-4</v>
      </c>
      <c r="X60" s="77"/>
      <c r="Y60" s="77">
        <v>1E-4</v>
      </c>
      <c r="Z60" s="77">
        <v>1E-4</v>
      </c>
      <c r="AA60" s="77">
        <v>1E-4</v>
      </c>
      <c r="AB60" s="77">
        <v>1E-4</v>
      </c>
      <c r="AD60" s="1" t="b">
        <f t="shared" si="0"/>
        <v>1</v>
      </c>
      <c r="AE60" s="77">
        <v>1E-4</v>
      </c>
      <c r="AF60" s="77">
        <v>1E-4</v>
      </c>
    </row>
    <row r="61" spans="1:32" x14ac:dyDescent="0.25">
      <c r="A61" s="15" t="s">
        <v>38</v>
      </c>
      <c r="B61" s="3" t="s">
        <v>468</v>
      </c>
      <c r="C61" s="2" t="s">
        <v>481</v>
      </c>
      <c r="D61" s="2" t="s">
        <v>523</v>
      </c>
      <c r="E61" s="16" t="s">
        <v>151</v>
      </c>
      <c r="F61" s="16" t="s">
        <v>196</v>
      </c>
      <c r="G61" s="44">
        <v>1E-4</v>
      </c>
      <c r="H61" s="77">
        <v>1E-4</v>
      </c>
      <c r="I61" s="77">
        <v>1E-4</v>
      </c>
      <c r="J61" s="77">
        <v>1E-4</v>
      </c>
      <c r="K61" s="77">
        <v>1E-4</v>
      </c>
      <c r="L61" s="77"/>
      <c r="M61" s="77">
        <v>1E-4</v>
      </c>
      <c r="N61" s="77">
        <v>1E-4</v>
      </c>
      <c r="O61" s="77">
        <v>1E-4</v>
      </c>
      <c r="P61" s="77">
        <v>1E-4</v>
      </c>
      <c r="Q61" s="77">
        <v>1E-4</v>
      </c>
      <c r="R61" s="77">
        <v>1E-4</v>
      </c>
      <c r="S61" s="77">
        <v>1E-4</v>
      </c>
      <c r="T61" s="77">
        <v>1E-4</v>
      </c>
      <c r="U61" s="77">
        <v>1E-4</v>
      </c>
      <c r="V61" s="77">
        <v>1E-4</v>
      </c>
      <c r="W61" s="77">
        <v>1E-4</v>
      </c>
      <c r="X61" s="77"/>
      <c r="Y61" s="77">
        <v>1E-4</v>
      </c>
      <c r="Z61" s="77">
        <v>1E-4</v>
      </c>
      <c r="AA61" s="77">
        <v>1E-4</v>
      </c>
      <c r="AB61" s="77">
        <v>1E-4</v>
      </c>
      <c r="AD61" s="1" t="b">
        <f t="shared" si="0"/>
        <v>1</v>
      </c>
      <c r="AE61" s="77">
        <v>1E-4</v>
      </c>
      <c r="AF61" s="77">
        <v>1E-4</v>
      </c>
    </row>
    <row r="62" spans="1:32" x14ac:dyDescent="0.25">
      <c r="A62" s="17" t="s">
        <v>39</v>
      </c>
      <c r="B62" s="3" t="s">
        <v>468</v>
      </c>
      <c r="C62" s="2" t="s">
        <v>481</v>
      </c>
      <c r="D62" s="2" t="s">
        <v>523</v>
      </c>
      <c r="E62" s="18" t="s">
        <v>152</v>
      </c>
      <c r="F62" s="18" t="s">
        <v>99</v>
      </c>
      <c r="G62" s="59">
        <v>6.9999999999999999E-4</v>
      </c>
      <c r="H62" s="77">
        <v>6.9999999999999999E-4</v>
      </c>
      <c r="I62" s="77">
        <v>6.9999999999999999E-4</v>
      </c>
      <c r="J62" s="77">
        <v>6.9999999999999999E-4</v>
      </c>
      <c r="K62" s="77">
        <v>6.9999999999999999E-4</v>
      </c>
      <c r="L62" s="77"/>
      <c r="M62" s="77">
        <v>6.9999999999999999E-4</v>
      </c>
      <c r="N62" s="77">
        <v>6.9999999999999999E-4</v>
      </c>
      <c r="O62" s="77">
        <v>6.9999999999999999E-4</v>
      </c>
      <c r="P62" s="77">
        <v>6.9999999999999999E-4</v>
      </c>
      <c r="Q62" s="77">
        <v>6.9999999999999999E-4</v>
      </c>
      <c r="R62" s="77">
        <v>6.9999999999999999E-4</v>
      </c>
      <c r="S62" s="77">
        <v>6.9999999999999999E-4</v>
      </c>
      <c r="T62" s="77">
        <v>6.9999999999999999E-4</v>
      </c>
      <c r="U62" s="77">
        <v>6.9999999999999999E-4</v>
      </c>
      <c r="V62" s="77">
        <v>6.9999999999999999E-4</v>
      </c>
      <c r="W62" s="77">
        <v>6.9999999999999999E-4</v>
      </c>
      <c r="X62" s="77"/>
      <c r="Y62" s="77">
        <v>6.9999999999999999E-4</v>
      </c>
      <c r="Z62" s="77">
        <v>6.9999999999999999E-4</v>
      </c>
      <c r="AA62" s="77">
        <v>6.9999999999999999E-4</v>
      </c>
      <c r="AB62" s="77">
        <v>6.9999999999999999E-4</v>
      </c>
      <c r="AD62" s="1" t="b">
        <f t="shared" si="0"/>
        <v>1</v>
      </c>
      <c r="AE62" s="77">
        <v>6.9999999999999999E-4</v>
      </c>
      <c r="AF62" s="77">
        <v>6.9999999999999999E-4</v>
      </c>
    </row>
    <row r="63" spans="1:32" x14ac:dyDescent="0.25">
      <c r="A63" s="17" t="s">
        <v>40</v>
      </c>
      <c r="B63" s="3" t="s">
        <v>468</v>
      </c>
      <c r="C63" s="2" t="s">
        <v>481</v>
      </c>
      <c r="D63" s="2" t="s">
        <v>523</v>
      </c>
      <c r="E63" s="18" t="s">
        <v>153</v>
      </c>
      <c r="F63" s="18" t="s">
        <v>99</v>
      </c>
      <c r="G63" s="59">
        <v>1.22E-4</v>
      </c>
      <c r="H63" s="77">
        <v>1.22E-4</v>
      </c>
      <c r="I63" s="77">
        <v>1.22E-4</v>
      </c>
      <c r="J63" s="77">
        <v>1.22E-4</v>
      </c>
      <c r="K63" s="77">
        <v>1.22E-4</v>
      </c>
      <c r="L63" s="77"/>
      <c r="M63" s="77">
        <v>1.22E-4</v>
      </c>
      <c r="N63" s="77">
        <v>1.22E-4</v>
      </c>
      <c r="O63" s="77">
        <v>1.22E-4</v>
      </c>
      <c r="P63" s="77">
        <v>1.22E-4</v>
      </c>
      <c r="Q63" s="77">
        <v>1.22E-4</v>
      </c>
      <c r="R63" s="77">
        <v>1.22E-4</v>
      </c>
      <c r="S63" s="77">
        <v>1.22E-4</v>
      </c>
      <c r="T63" s="77">
        <v>1.22E-4</v>
      </c>
      <c r="U63" s="77">
        <v>1.22E-4</v>
      </c>
      <c r="V63" s="77">
        <v>1.22E-4</v>
      </c>
      <c r="W63" s="77">
        <v>1.22E-4</v>
      </c>
      <c r="X63" s="77"/>
      <c r="Y63" s="77">
        <v>1.22E-4</v>
      </c>
      <c r="Z63" s="77">
        <v>1.22E-4</v>
      </c>
      <c r="AA63" s="77">
        <v>1.22E-4</v>
      </c>
      <c r="AB63" s="77">
        <v>1.22E-4</v>
      </c>
      <c r="AD63" s="1" t="b">
        <f t="shared" si="0"/>
        <v>1</v>
      </c>
      <c r="AE63" s="77">
        <v>1.22E-4</v>
      </c>
      <c r="AF63" s="77">
        <v>1.22E-4</v>
      </c>
    </row>
    <row r="64" spans="1:32" x14ac:dyDescent="0.25">
      <c r="A64" s="17" t="s">
        <v>207</v>
      </c>
      <c r="B64" s="3" t="s">
        <v>468</v>
      </c>
      <c r="C64" s="2" t="s">
        <v>481</v>
      </c>
      <c r="D64" s="2" t="s">
        <v>523</v>
      </c>
      <c r="E64" s="18" t="s">
        <v>285</v>
      </c>
      <c r="F64" s="18" t="s">
        <v>99</v>
      </c>
      <c r="G64" s="59">
        <v>1</v>
      </c>
      <c r="H64" s="77">
        <v>1</v>
      </c>
      <c r="I64" s="77">
        <v>1</v>
      </c>
      <c r="J64" s="77">
        <v>1</v>
      </c>
      <c r="K64" s="77">
        <v>1</v>
      </c>
      <c r="L64" s="77"/>
      <c r="M64" s="77">
        <v>1</v>
      </c>
      <c r="N64" s="77">
        <v>1</v>
      </c>
      <c r="O64" s="77">
        <v>1</v>
      </c>
      <c r="P64" s="77">
        <v>1</v>
      </c>
      <c r="Q64" s="77">
        <v>1</v>
      </c>
      <c r="R64" s="77">
        <v>1</v>
      </c>
      <c r="S64" s="77">
        <v>1</v>
      </c>
      <c r="T64" s="77">
        <v>1</v>
      </c>
      <c r="U64" s="77">
        <v>1</v>
      </c>
      <c r="V64" s="77">
        <v>1</v>
      </c>
      <c r="W64" s="77">
        <v>1</v>
      </c>
      <c r="X64" s="77"/>
      <c r="Y64" s="77">
        <v>1</v>
      </c>
      <c r="Z64" s="77">
        <v>1</v>
      </c>
      <c r="AA64" s="77">
        <v>1</v>
      </c>
      <c r="AB64" s="77">
        <v>1</v>
      </c>
      <c r="AD64" s="1" t="b">
        <f t="shared" si="0"/>
        <v>1</v>
      </c>
      <c r="AE64" s="77">
        <v>1</v>
      </c>
      <c r="AF64" s="77">
        <v>1</v>
      </c>
    </row>
    <row r="65" spans="1:32" x14ac:dyDescent="0.25">
      <c r="A65" s="17" t="s">
        <v>41</v>
      </c>
      <c r="B65" s="3" t="s">
        <v>468</v>
      </c>
      <c r="C65" s="2" t="s">
        <v>481</v>
      </c>
      <c r="D65" s="2" t="s">
        <v>523</v>
      </c>
      <c r="E65" s="18" t="s">
        <v>156</v>
      </c>
      <c r="F65" s="18" t="s">
        <v>103</v>
      </c>
      <c r="G65" s="59">
        <v>0.95</v>
      </c>
      <c r="H65" s="77">
        <v>0.95</v>
      </c>
      <c r="I65" s="77">
        <v>0.95</v>
      </c>
      <c r="J65" s="77">
        <v>0.95</v>
      </c>
      <c r="K65" s="77">
        <v>0.95</v>
      </c>
      <c r="L65" s="77"/>
      <c r="M65" s="77">
        <v>0.95</v>
      </c>
      <c r="N65" s="77">
        <v>0.95</v>
      </c>
      <c r="O65" s="77">
        <v>0.95</v>
      </c>
      <c r="P65" s="77">
        <v>0.95</v>
      </c>
      <c r="Q65" s="77">
        <v>0.95</v>
      </c>
      <c r="R65" s="77">
        <v>0.95</v>
      </c>
      <c r="S65" s="77">
        <v>0.95</v>
      </c>
      <c r="T65" s="77">
        <v>0.95</v>
      </c>
      <c r="U65" s="77">
        <v>0.95</v>
      </c>
      <c r="V65" s="77">
        <v>0.95</v>
      </c>
      <c r="W65" s="77">
        <v>0.95</v>
      </c>
      <c r="X65" s="77"/>
      <c r="Y65" s="77">
        <v>0.95</v>
      </c>
      <c r="Z65" s="77">
        <v>0.95</v>
      </c>
      <c r="AA65" s="77">
        <v>0.95</v>
      </c>
      <c r="AB65" s="77">
        <v>0.95</v>
      </c>
      <c r="AD65" s="1" t="b">
        <f t="shared" si="0"/>
        <v>1</v>
      </c>
      <c r="AE65" s="77">
        <v>0.95</v>
      </c>
      <c r="AF65" s="77">
        <v>0.95</v>
      </c>
    </row>
    <row r="66" spans="1:32" x14ac:dyDescent="0.25">
      <c r="A66" s="17" t="s">
        <v>406</v>
      </c>
      <c r="B66" s="3" t="s">
        <v>468</v>
      </c>
      <c r="C66" s="2" t="s">
        <v>481</v>
      </c>
      <c r="D66" s="2" t="s">
        <v>523</v>
      </c>
      <c r="E66" s="18" t="s">
        <v>407</v>
      </c>
      <c r="F66" s="18" t="s">
        <v>95</v>
      </c>
      <c r="G66" s="59" t="s">
        <v>88</v>
      </c>
      <c r="H66" s="77" t="s">
        <v>88</v>
      </c>
      <c r="I66" s="77" t="s">
        <v>88</v>
      </c>
      <c r="J66" s="77" t="s">
        <v>88</v>
      </c>
      <c r="K66" s="77" t="s">
        <v>88</v>
      </c>
      <c r="L66" s="77"/>
      <c r="M66" s="77" t="s">
        <v>88</v>
      </c>
      <c r="N66" s="77" t="s">
        <v>88</v>
      </c>
      <c r="O66" s="77" t="s">
        <v>88</v>
      </c>
      <c r="P66" s="77" t="s">
        <v>88</v>
      </c>
      <c r="Q66" s="77" t="s">
        <v>88</v>
      </c>
      <c r="R66" s="77" t="s">
        <v>88</v>
      </c>
      <c r="S66" s="77" t="s">
        <v>88</v>
      </c>
      <c r="T66" s="77" t="s">
        <v>88</v>
      </c>
      <c r="U66" s="77" t="s">
        <v>88</v>
      </c>
      <c r="V66" s="77" t="s">
        <v>88</v>
      </c>
      <c r="W66" s="77" t="s">
        <v>88</v>
      </c>
      <c r="X66" s="77"/>
      <c r="Y66" s="77" t="s">
        <v>88</v>
      </c>
      <c r="Z66" s="77" t="s">
        <v>88</v>
      </c>
      <c r="AA66" s="77" t="s">
        <v>88</v>
      </c>
      <c r="AB66" s="77" t="s">
        <v>88</v>
      </c>
      <c r="AD66" s="1" t="b">
        <f t="shared" ref="AD66:AD129" si="1">M66=AB66</f>
        <v>1</v>
      </c>
      <c r="AE66" s="77" t="s">
        <v>88</v>
      </c>
      <c r="AF66" s="77" t="s">
        <v>88</v>
      </c>
    </row>
    <row r="67" spans="1:32" x14ac:dyDescent="0.25">
      <c r="A67" s="17" t="s">
        <v>91</v>
      </c>
      <c r="B67" s="3" t="s">
        <v>468</v>
      </c>
      <c r="C67" s="2" t="s">
        <v>481</v>
      </c>
      <c r="D67" s="2" t="s">
        <v>523</v>
      </c>
      <c r="E67" s="18" t="s">
        <v>154</v>
      </c>
      <c r="F67" s="18" t="s">
        <v>104</v>
      </c>
      <c r="G67" s="59">
        <v>5</v>
      </c>
      <c r="H67" s="77">
        <v>5</v>
      </c>
      <c r="I67" s="77">
        <v>5</v>
      </c>
      <c r="J67" s="77">
        <v>5</v>
      </c>
      <c r="K67" s="77">
        <v>5</v>
      </c>
      <c r="L67" s="77"/>
      <c r="M67" s="77">
        <v>5</v>
      </c>
      <c r="N67" s="77">
        <v>5</v>
      </c>
      <c r="O67" s="77">
        <v>5</v>
      </c>
      <c r="P67" s="77">
        <v>5</v>
      </c>
      <c r="Q67" s="77">
        <v>5</v>
      </c>
      <c r="R67" s="77">
        <v>5</v>
      </c>
      <c r="S67" s="77">
        <v>5</v>
      </c>
      <c r="T67" s="77">
        <v>5</v>
      </c>
      <c r="U67" s="77">
        <v>5</v>
      </c>
      <c r="V67" s="77">
        <v>5</v>
      </c>
      <c r="W67" s="77">
        <v>5</v>
      </c>
      <c r="X67" s="77"/>
      <c r="Y67" s="77">
        <v>5</v>
      </c>
      <c r="Z67" s="77">
        <v>5</v>
      </c>
      <c r="AA67" s="77">
        <v>5</v>
      </c>
      <c r="AB67" s="77">
        <v>5</v>
      </c>
      <c r="AD67" s="1" t="b">
        <f t="shared" si="1"/>
        <v>1</v>
      </c>
      <c r="AE67" s="77">
        <v>5</v>
      </c>
      <c r="AF67" s="77">
        <v>5</v>
      </c>
    </row>
    <row r="68" spans="1:32" x14ac:dyDescent="0.25">
      <c r="A68" s="17" t="s">
        <v>408</v>
      </c>
      <c r="B68" s="3" t="s">
        <v>468</v>
      </c>
      <c r="C68" s="2" t="s">
        <v>481</v>
      </c>
      <c r="D68" s="2" t="s">
        <v>523</v>
      </c>
      <c r="E68" s="18" t="s">
        <v>409</v>
      </c>
      <c r="F68" s="18" t="s">
        <v>95</v>
      </c>
      <c r="G68" s="59" t="s">
        <v>88</v>
      </c>
      <c r="H68" s="77" t="s">
        <v>88</v>
      </c>
      <c r="I68" s="77" t="s">
        <v>88</v>
      </c>
      <c r="J68" s="77" t="s">
        <v>88</v>
      </c>
      <c r="K68" s="77" t="s">
        <v>88</v>
      </c>
      <c r="L68" s="77"/>
      <c r="M68" s="77" t="s">
        <v>88</v>
      </c>
      <c r="N68" s="77" t="s">
        <v>88</v>
      </c>
      <c r="O68" s="77" t="s">
        <v>88</v>
      </c>
      <c r="P68" s="77" t="s">
        <v>88</v>
      </c>
      <c r="Q68" s="77" t="s">
        <v>88</v>
      </c>
      <c r="R68" s="77" t="s">
        <v>88</v>
      </c>
      <c r="S68" s="77" t="s">
        <v>88</v>
      </c>
      <c r="T68" s="77" t="s">
        <v>88</v>
      </c>
      <c r="U68" s="77" t="s">
        <v>88</v>
      </c>
      <c r="V68" s="77" t="s">
        <v>88</v>
      </c>
      <c r="W68" s="77" t="s">
        <v>88</v>
      </c>
      <c r="X68" s="77"/>
      <c r="Y68" s="77" t="s">
        <v>88</v>
      </c>
      <c r="Z68" s="77" t="s">
        <v>88</v>
      </c>
      <c r="AA68" s="77" t="s">
        <v>88</v>
      </c>
      <c r="AB68" s="77" t="s">
        <v>88</v>
      </c>
      <c r="AD68" s="1" t="b">
        <f t="shared" si="1"/>
        <v>1</v>
      </c>
      <c r="AE68" s="77" t="s">
        <v>88</v>
      </c>
      <c r="AF68" s="77" t="s">
        <v>88</v>
      </c>
    </row>
    <row r="69" spans="1:32" x14ac:dyDescent="0.25">
      <c r="A69" s="17" t="s">
        <v>42</v>
      </c>
      <c r="B69" s="3" t="s">
        <v>468</v>
      </c>
      <c r="C69" s="2" t="s">
        <v>481</v>
      </c>
      <c r="D69" s="2" t="s">
        <v>523</v>
      </c>
      <c r="E69" s="18" t="s">
        <v>155</v>
      </c>
      <c r="F69" s="18" t="s">
        <v>104</v>
      </c>
      <c r="G69" s="59">
        <v>50</v>
      </c>
      <c r="H69" s="77">
        <v>50</v>
      </c>
      <c r="I69" s="77">
        <v>50</v>
      </c>
      <c r="J69" s="77">
        <v>50</v>
      </c>
      <c r="K69" s="77">
        <v>50</v>
      </c>
      <c r="L69" s="77"/>
      <c r="M69" s="77">
        <v>50</v>
      </c>
      <c r="N69" s="77">
        <v>50</v>
      </c>
      <c r="O69" s="77">
        <v>50</v>
      </c>
      <c r="P69" s="77">
        <v>50</v>
      </c>
      <c r="Q69" s="77">
        <v>50</v>
      </c>
      <c r="R69" s="77">
        <v>50</v>
      </c>
      <c r="S69" s="77">
        <v>50</v>
      </c>
      <c r="T69" s="77">
        <v>50</v>
      </c>
      <c r="U69" s="77">
        <v>50</v>
      </c>
      <c r="V69" s="77">
        <v>50</v>
      </c>
      <c r="W69" s="77">
        <v>50</v>
      </c>
      <c r="X69" s="77"/>
      <c r="Y69" s="77">
        <v>50</v>
      </c>
      <c r="Z69" s="77">
        <v>50</v>
      </c>
      <c r="AA69" s="77">
        <v>50</v>
      </c>
      <c r="AB69" s="77">
        <v>50</v>
      </c>
      <c r="AD69" s="1" t="b">
        <f t="shared" si="1"/>
        <v>1</v>
      </c>
      <c r="AE69" s="77">
        <v>50</v>
      </c>
      <c r="AF69" s="77">
        <v>50</v>
      </c>
    </row>
    <row r="70" spans="1:32" x14ac:dyDescent="0.25">
      <c r="A70" s="17" t="s">
        <v>208</v>
      </c>
      <c r="B70" s="3" t="s">
        <v>468</v>
      </c>
      <c r="C70" s="2" t="s">
        <v>481</v>
      </c>
      <c r="D70" s="2" t="s">
        <v>523</v>
      </c>
      <c r="E70" s="18" t="s">
        <v>289</v>
      </c>
      <c r="F70" s="18" t="s">
        <v>107</v>
      </c>
      <c r="G70" s="45">
        <v>1453890.8941884842</v>
      </c>
      <c r="H70" s="78">
        <v>1453890.8941884842</v>
      </c>
      <c r="I70" s="78">
        <v>1453890.8941884842</v>
      </c>
      <c r="J70" s="78">
        <v>1453890.8941884842</v>
      </c>
      <c r="K70" s="78">
        <v>1453890.8941884842</v>
      </c>
      <c r="L70" s="78"/>
      <c r="M70" s="78">
        <v>1453890.8941884842</v>
      </c>
      <c r="N70" s="78">
        <v>1453890.8941884842</v>
      </c>
      <c r="O70" s="78">
        <v>1453890.8941884842</v>
      </c>
      <c r="P70" s="78">
        <v>1453890.8941884842</v>
      </c>
      <c r="Q70" s="78">
        <v>1453890.8941884842</v>
      </c>
      <c r="R70" s="78">
        <v>1453890.8941884842</v>
      </c>
      <c r="S70" s="78">
        <v>1453890.8941884842</v>
      </c>
      <c r="T70" s="78">
        <v>1453890.8941884842</v>
      </c>
      <c r="U70" s="78">
        <v>1453890.8941884842</v>
      </c>
      <c r="V70" s="78">
        <v>1453890.8941884842</v>
      </c>
      <c r="W70" s="78">
        <v>1453890.8941884842</v>
      </c>
      <c r="X70" s="78"/>
      <c r="Y70" s="78">
        <v>1453890.8941884842</v>
      </c>
      <c r="Z70" s="78">
        <v>1453890.8941884842</v>
      </c>
      <c r="AA70" s="78">
        <v>1453890.8941884842</v>
      </c>
      <c r="AB70" s="78">
        <v>1453890.8941884842</v>
      </c>
      <c r="AD70" s="1" t="b">
        <f t="shared" si="1"/>
        <v>1</v>
      </c>
      <c r="AE70" s="78">
        <v>1453890.8941884842</v>
      </c>
      <c r="AF70" s="78">
        <v>1453890.8941884842</v>
      </c>
    </row>
    <row r="71" spans="1:32" x14ac:dyDescent="0.25">
      <c r="A71" s="17" t="s">
        <v>43</v>
      </c>
      <c r="B71" s="3" t="s">
        <v>468</v>
      </c>
      <c r="C71" s="2" t="s">
        <v>481</v>
      </c>
      <c r="D71" s="2" t="s">
        <v>523</v>
      </c>
      <c r="E71" s="18" t="s">
        <v>382</v>
      </c>
      <c r="F71" s="18" t="s">
        <v>105</v>
      </c>
      <c r="G71" s="59">
        <v>1.3888888888888888E-5</v>
      </c>
      <c r="H71" s="78">
        <v>1.3888888888888888E-5</v>
      </c>
      <c r="I71" s="78">
        <v>1.3888888888888888E-5</v>
      </c>
      <c r="J71" s="78">
        <v>1.3888888888888888E-5</v>
      </c>
      <c r="K71" s="78">
        <v>1.3888888888888888E-5</v>
      </c>
      <c r="L71" s="78"/>
      <c r="M71" s="78">
        <v>1.3888888888888888E-5</v>
      </c>
      <c r="N71" s="78">
        <v>1.3888888888888888E-5</v>
      </c>
      <c r="O71" s="78">
        <v>1.3888888888888888E-5</v>
      </c>
      <c r="P71" s="78">
        <v>1.3888888888888888E-5</v>
      </c>
      <c r="Q71" s="78">
        <v>1.3888888888888888E-5</v>
      </c>
      <c r="R71" s="78">
        <v>1.3888888888888888E-5</v>
      </c>
      <c r="S71" s="78">
        <v>1.3888888888888888E-5</v>
      </c>
      <c r="T71" s="78">
        <v>1.3888888888888888E-5</v>
      </c>
      <c r="U71" s="78">
        <v>1.3888888888888888E-5</v>
      </c>
      <c r="V71" s="78">
        <v>1.3888888888888888E-5</v>
      </c>
      <c r="W71" s="78">
        <v>1.3888888888888888E-5</v>
      </c>
      <c r="X71" s="78"/>
      <c r="Y71" s="78">
        <v>1.3888888888888888E-5</v>
      </c>
      <c r="Z71" s="78">
        <v>1.3888888888888888E-5</v>
      </c>
      <c r="AA71" s="78">
        <v>1.3888888888888888E-5</v>
      </c>
      <c r="AB71" s="78">
        <v>1.3888888888888888E-5</v>
      </c>
      <c r="AD71" s="1" t="b">
        <f t="shared" si="1"/>
        <v>1</v>
      </c>
      <c r="AE71" s="78">
        <v>1.3888888888888888E-5</v>
      </c>
      <c r="AF71" s="78">
        <v>1.3888888888888888E-5</v>
      </c>
    </row>
    <row r="72" spans="1:32" x14ac:dyDescent="0.25">
      <c r="A72" s="17" t="s">
        <v>44</v>
      </c>
      <c r="B72" s="3" t="s">
        <v>468</v>
      </c>
      <c r="C72" s="2" t="s">
        <v>481</v>
      </c>
      <c r="D72" s="2" t="s">
        <v>523</v>
      </c>
      <c r="E72" s="18" t="s">
        <v>157</v>
      </c>
      <c r="F72" s="18" t="s">
        <v>106</v>
      </c>
      <c r="G72" s="59">
        <v>4.5763888888888888E-4</v>
      </c>
      <c r="H72" s="79">
        <v>6.5011574074074071E-4</v>
      </c>
      <c r="I72" s="79">
        <v>6.5011574074074071E-4</v>
      </c>
      <c r="J72" s="79">
        <v>6.5011574074074071E-4</v>
      </c>
      <c r="K72" s="79">
        <v>6.5011574074074071E-4</v>
      </c>
      <c r="L72" s="79"/>
      <c r="M72" s="79">
        <v>6.5011574074074071E-4</v>
      </c>
      <c r="N72" s="79">
        <v>6.5011574074074071E-4</v>
      </c>
      <c r="O72" s="79">
        <v>6.5011574074074071E-4</v>
      </c>
      <c r="P72" s="79">
        <v>6.5011574074074071E-4</v>
      </c>
      <c r="Q72" s="79">
        <v>6.5011574074074071E-4</v>
      </c>
      <c r="R72" s="79">
        <v>6.5011574074074071E-4</v>
      </c>
      <c r="S72" s="79">
        <v>6.5011574074074071E-4</v>
      </c>
      <c r="T72" s="79">
        <v>6.5011574074074071E-4</v>
      </c>
      <c r="U72" s="79">
        <v>6.5011574074074071E-4</v>
      </c>
      <c r="V72" s="79">
        <v>6.5011574074074071E-4</v>
      </c>
      <c r="W72" s="79">
        <v>6.5011574074074071E-4</v>
      </c>
      <c r="X72" s="79"/>
      <c r="Y72" s="79">
        <v>6.5011574074074071E-4</v>
      </c>
      <c r="Z72" s="79">
        <v>6.5011574074074071E-4</v>
      </c>
      <c r="AA72" s="79">
        <v>6.5011574074074071E-4</v>
      </c>
      <c r="AB72" s="79">
        <v>6.5011574074074071E-4</v>
      </c>
      <c r="AD72" s="1" t="b">
        <f t="shared" si="1"/>
        <v>1</v>
      </c>
      <c r="AE72" s="79">
        <v>6.5011574074074071E-4</v>
      </c>
      <c r="AF72" s="79">
        <v>6.5011574074074071E-4</v>
      </c>
    </row>
    <row r="73" spans="1:32" x14ac:dyDescent="0.25">
      <c r="A73" s="17" t="s">
        <v>45</v>
      </c>
      <c r="B73" s="3" t="s">
        <v>468</v>
      </c>
      <c r="C73" s="2" t="s">
        <v>481</v>
      </c>
      <c r="D73" s="2" t="s">
        <v>523</v>
      </c>
      <c r="E73" s="18" t="s">
        <v>158</v>
      </c>
      <c r="F73" s="18" t="s">
        <v>99</v>
      </c>
      <c r="G73" s="59">
        <v>3.63E-3</v>
      </c>
      <c r="H73" s="85">
        <v>4.7400000000000003E-3</v>
      </c>
      <c r="I73" s="85">
        <v>4.7400000000000003E-3</v>
      </c>
      <c r="J73" s="85">
        <v>4.7400000000000003E-3</v>
      </c>
      <c r="K73" s="85">
        <v>4.7400000000000003E-3</v>
      </c>
      <c r="L73" s="85"/>
      <c r="M73" s="85">
        <v>4.7400000000000003E-3</v>
      </c>
      <c r="N73" s="85">
        <v>4.7400000000000003E-3</v>
      </c>
      <c r="O73" s="85">
        <v>4.7400000000000003E-3</v>
      </c>
      <c r="P73" s="85">
        <v>4.7400000000000003E-3</v>
      </c>
      <c r="Q73" s="85">
        <v>4.7400000000000003E-3</v>
      </c>
      <c r="R73" s="85">
        <v>4.7400000000000003E-3</v>
      </c>
      <c r="S73" s="85">
        <v>4.7400000000000003E-3</v>
      </c>
      <c r="T73" s="85">
        <v>4.7400000000000003E-3</v>
      </c>
      <c r="U73" s="85">
        <v>4.7400000000000003E-3</v>
      </c>
      <c r="V73" s="85">
        <v>4.7400000000000003E-3</v>
      </c>
      <c r="W73" s="85">
        <v>4.7400000000000003E-3</v>
      </c>
      <c r="X73" s="85"/>
      <c r="Y73" s="85">
        <v>4.7400000000000003E-3</v>
      </c>
      <c r="Z73" s="85">
        <v>4.7400000000000003E-3</v>
      </c>
      <c r="AA73" s="85">
        <v>4.7400000000000003E-3</v>
      </c>
      <c r="AB73" s="85">
        <v>4.7400000000000003E-3</v>
      </c>
      <c r="AD73" s="1" t="b">
        <f t="shared" si="1"/>
        <v>1</v>
      </c>
      <c r="AE73" s="85">
        <v>4.7400000000000003E-3</v>
      </c>
      <c r="AF73" s="85">
        <v>4.7400000000000003E-3</v>
      </c>
    </row>
    <row r="74" spans="1:32" x14ac:dyDescent="0.25">
      <c r="A74" s="17" t="s">
        <v>46</v>
      </c>
      <c r="B74" s="3" t="s">
        <v>468</v>
      </c>
      <c r="C74" s="2" t="s">
        <v>481</v>
      </c>
      <c r="D74" s="2" t="s">
        <v>523</v>
      </c>
      <c r="E74" s="18" t="s">
        <v>159</v>
      </c>
      <c r="F74" s="18" t="s">
        <v>107</v>
      </c>
      <c r="G74" s="45">
        <v>491356.80000000005</v>
      </c>
      <c r="H74" s="79">
        <v>282528</v>
      </c>
      <c r="I74" s="79">
        <v>282528</v>
      </c>
      <c r="J74" s="79">
        <v>282528</v>
      </c>
      <c r="K74" s="79">
        <v>282528</v>
      </c>
      <c r="L74" s="79"/>
      <c r="M74" s="79">
        <f t="shared" ref="M74:Y74" si="2">282528</f>
        <v>282528</v>
      </c>
      <c r="N74" s="79">
        <f t="shared" si="2"/>
        <v>282528</v>
      </c>
      <c r="O74" s="79">
        <f t="shared" si="2"/>
        <v>282528</v>
      </c>
      <c r="P74" s="79">
        <f t="shared" si="2"/>
        <v>282528</v>
      </c>
      <c r="Q74" s="79">
        <f t="shared" si="2"/>
        <v>282528</v>
      </c>
      <c r="R74" s="79">
        <f t="shared" si="2"/>
        <v>282528</v>
      </c>
      <c r="S74" s="79">
        <f t="shared" si="2"/>
        <v>282528</v>
      </c>
      <c r="T74" s="79">
        <f t="shared" si="2"/>
        <v>282528</v>
      </c>
      <c r="U74" s="79">
        <f t="shared" si="2"/>
        <v>282528</v>
      </c>
      <c r="V74" s="79">
        <f t="shared" si="2"/>
        <v>282528</v>
      </c>
      <c r="W74" s="79">
        <f t="shared" si="2"/>
        <v>282528</v>
      </c>
      <c r="X74" s="79"/>
      <c r="Y74" s="79">
        <f t="shared" si="2"/>
        <v>282528</v>
      </c>
      <c r="Z74" s="79">
        <f>282528</f>
        <v>282528</v>
      </c>
      <c r="AA74" s="79">
        <f>282528</f>
        <v>282528</v>
      </c>
      <c r="AB74" s="79">
        <v>282528</v>
      </c>
      <c r="AD74" s="1" t="b">
        <f t="shared" si="1"/>
        <v>1</v>
      </c>
      <c r="AE74" s="79">
        <v>282528</v>
      </c>
      <c r="AF74" s="79">
        <v>282528</v>
      </c>
    </row>
    <row r="75" spans="1:32" x14ac:dyDescent="0.25">
      <c r="A75" s="17" t="s">
        <v>47</v>
      </c>
      <c r="B75" s="3" t="s">
        <v>468</v>
      </c>
      <c r="C75" s="2" t="s">
        <v>481</v>
      </c>
      <c r="D75" s="2" t="s">
        <v>523</v>
      </c>
      <c r="E75" s="18" t="s">
        <v>160</v>
      </c>
      <c r="F75" s="18" t="s">
        <v>103</v>
      </c>
      <c r="G75" s="59">
        <v>0.57999999999999996</v>
      </c>
      <c r="H75" s="85">
        <v>0.56999999999999995</v>
      </c>
      <c r="I75" s="85">
        <v>0.56999999999999995</v>
      </c>
      <c r="J75" s="85">
        <v>0.56999999999999995</v>
      </c>
      <c r="K75" s="85">
        <v>0.56999999999999995</v>
      </c>
      <c r="L75" s="85"/>
      <c r="M75" s="85">
        <v>0.56999999999999995</v>
      </c>
      <c r="N75" s="85">
        <v>0.56999999999999995</v>
      </c>
      <c r="O75" s="85">
        <v>0.56999999999999995</v>
      </c>
      <c r="P75" s="85">
        <v>0.56999999999999995</v>
      </c>
      <c r="Q75" s="85">
        <v>0.56999999999999995</v>
      </c>
      <c r="R75" s="85">
        <v>0.56999999999999995</v>
      </c>
      <c r="S75" s="85">
        <v>0.56999999999999995</v>
      </c>
      <c r="T75" s="85">
        <v>0.56999999999999995</v>
      </c>
      <c r="U75" s="85">
        <v>0.56999999999999995</v>
      </c>
      <c r="V75" s="85">
        <v>0.56999999999999995</v>
      </c>
      <c r="W75" s="85">
        <v>0.56999999999999995</v>
      </c>
      <c r="X75" s="85"/>
      <c r="Y75" s="85">
        <v>1</v>
      </c>
      <c r="Z75" s="85">
        <v>0.56999999999999995</v>
      </c>
      <c r="AA75" s="85">
        <v>0.56999999999999995</v>
      </c>
      <c r="AB75" s="85">
        <v>0.56999999999999995</v>
      </c>
      <c r="AD75" s="1" t="b">
        <f t="shared" si="1"/>
        <v>1</v>
      </c>
      <c r="AE75" s="85">
        <v>0.56999999999999995</v>
      </c>
      <c r="AF75" s="85">
        <v>0.56999999999999995</v>
      </c>
    </row>
    <row r="76" spans="1:32" x14ac:dyDescent="0.25">
      <c r="A76" s="17" t="s">
        <v>48</v>
      </c>
      <c r="B76" s="3" t="s">
        <v>468</v>
      </c>
      <c r="C76" s="2" t="s">
        <v>481</v>
      </c>
      <c r="D76" s="2" t="s">
        <v>523</v>
      </c>
      <c r="E76" s="18" t="s">
        <v>161</v>
      </c>
      <c r="F76" s="18" t="s">
        <v>101</v>
      </c>
      <c r="G76" s="59">
        <v>0.25862068965517243</v>
      </c>
      <c r="H76" s="87">
        <v>0.16</v>
      </c>
      <c r="I76" s="87">
        <v>0.16</v>
      </c>
      <c r="J76" s="87">
        <v>0.16</v>
      </c>
      <c r="K76" s="87">
        <v>0.16</v>
      </c>
      <c r="L76" s="87"/>
      <c r="M76" s="87">
        <v>0.16</v>
      </c>
      <c r="N76" s="87">
        <v>0.16</v>
      </c>
      <c r="O76" s="87">
        <v>0.16</v>
      </c>
      <c r="P76" s="87">
        <v>0.16</v>
      </c>
      <c r="Q76" s="87">
        <v>0.16</v>
      </c>
      <c r="R76" s="87">
        <v>0.16</v>
      </c>
      <c r="S76" s="87">
        <v>0.16</v>
      </c>
      <c r="T76" s="87">
        <v>0.16</v>
      </c>
      <c r="U76" s="87">
        <v>0.16</v>
      </c>
      <c r="V76" s="87">
        <v>0.16</v>
      </c>
      <c r="W76" s="87">
        <v>0.16</v>
      </c>
      <c r="X76" s="87"/>
      <c r="Y76" s="87">
        <v>0.16</v>
      </c>
      <c r="Z76" s="87">
        <v>0.16</v>
      </c>
      <c r="AA76" s="87">
        <v>0.16</v>
      </c>
      <c r="AB76" s="87">
        <v>0.16</v>
      </c>
      <c r="AD76" s="1" t="b">
        <f t="shared" si="1"/>
        <v>1</v>
      </c>
      <c r="AE76" s="87">
        <v>0.16</v>
      </c>
      <c r="AF76" s="87">
        <v>0.16</v>
      </c>
    </row>
    <row r="77" spans="1:32" x14ac:dyDescent="0.25">
      <c r="A77" s="17" t="s">
        <v>49</v>
      </c>
      <c r="B77" s="3" t="s">
        <v>468</v>
      </c>
      <c r="C77" s="2" t="s">
        <v>481</v>
      </c>
      <c r="D77" s="2" t="s">
        <v>523</v>
      </c>
      <c r="E77" s="18" t="s">
        <v>162</v>
      </c>
      <c r="F77" s="18" t="s">
        <v>108</v>
      </c>
      <c r="G77" s="59">
        <v>0</v>
      </c>
      <c r="H77" s="77">
        <v>0</v>
      </c>
      <c r="I77" s="77">
        <v>0</v>
      </c>
      <c r="J77" s="77">
        <v>0</v>
      </c>
      <c r="K77" s="77">
        <v>0</v>
      </c>
      <c r="L77" s="77"/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/>
      <c r="Y77" s="77">
        <v>0</v>
      </c>
      <c r="Z77" s="77">
        <v>0</v>
      </c>
      <c r="AA77" s="77">
        <v>0</v>
      </c>
      <c r="AB77" s="77">
        <v>0</v>
      </c>
      <c r="AD77" s="1" t="b">
        <f t="shared" si="1"/>
        <v>1</v>
      </c>
      <c r="AE77" s="77">
        <v>0</v>
      </c>
      <c r="AF77" s="77">
        <v>0</v>
      </c>
    </row>
    <row r="78" spans="1:32" x14ac:dyDescent="0.25">
      <c r="A78" s="33" t="s">
        <v>50</v>
      </c>
      <c r="B78" s="3" t="s">
        <v>468</v>
      </c>
      <c r="C78" s="2" t="s">
        <v>481</v>
      </c>
      <c r="D78" s="2" t="s">
        <v>523</v>
      </c>
      <c r="E78" s="34" t="s">
        <v>419</v>
      </c>
      <c r="F78" s="34" t="s">
        <v>418</v>
      </c>
      <c r="G78" s="60">
        <v>745476480000</v>
      </c>
      <c r="H78" s="78">
        <v>745476480000</v>
      </c>
      <c r="I78" s="78">
        <v>745476480000</v>
      </c>
      <c r="J78" s="78">
        <v>745476480000</v>
      </c>
      <c r="K78" s="78">
        <v>745476480000</v>
      </c>
      <c r="L78" s="78"/>
      <c r="M78" s="78">
        <v>745476480000</v>
      </c>
      <c r="N78" s="78">
        <v>745476480000</v>
      </c>
      <c r="O78" s="78">
        <v>745476480000</v>
      </c>
      <c r="P78" s="78">
        <v>745476480000</v>
      </c>
      <c r="Q78" s="78">
        <v>745476480000</v>
      </c>
      <c r="R78" s="78">
        <v>745476480000</v>
      </c>
      <c r="S78" s="78">
        <v>745476480000</v>
      </c>
      <c r="T78" s="78">
        <v>745476480000</v>
      </c>
      <c r="U78" s="78">
        <v>745476480000</v>
      </c>
      <c r="V78" s="78">
        <v>745476480000</v>
      </c>
      <c r="W78" s="78">
        <v>745476480000</v>
      </c>
      <c r="X78" s="78"/>
      <c r="Y78" s="78">
        <v>745476480000</v>
      </c>
      <c r="Z78" s="78">
        <v>745476480000</v>
      </c>
      <c r="AA78" s="78">
        <v>745476480000</v>
      </c>
      <c r="AB78" s="78">
        <v>745476480000</v>
      </c>
      <c r="AD78" s="1" t="b">
        <f t="shared" si="1"/>
        <v>1</v>
      </c>
      <c r="AE78" s="78">
        <v>745476480000</v>
      </c>
      <c r="AF78" s="78">
        <v>745476480000</v>
      </c>
    </row>
    <row r="79" spans="1:32" x14ac:dyDescent="0.25">
      <c r="A79" s="33" t="s">
        <v>205</v>
      </c>
      <c r="B79" s="3" t="s">
        <v>468</v>
      </c>
      <c r="C79" s="2" t="s">
        <v>481</v>
      </c>
      <c r="D79" s="2" t="s">
        <v>523</v>
      </c>
      <c r="E79" s="34" t="s">
        <v>413</v>
      </c>
      <c r="F79" s="34" t="s">
        <v>203</v>
      </c>
      <c r="G79" s="60">
        <v>100</v>
      </c>
      <c r="H79" s="77">
        <v>100</v>
      </c>
      <c r="I79" s="77">
        <v>100</v>
      </c>
      <c r="J79" s="77">
        <v>100</v>
      </c>
      <c r="K79" s="77">
        <v>100</v>
      </c>
      <c r="L79" s="77"/>
      <c r="M79" s="77">
        <v>100</v>
      </c>
      <c r="N79" s="77">
        <v>100</v>
      </c>
      <c r="O79" s="77">
        <v>100</v>
      </c>
      <c r="P79" s="77">
        <v>100</v>
      </c>
      <c r="Q79" s="77">
        <v>100</v>
      </c>
      <c r="R79" s="77">
        <v>100</v>
      </c>
      <c r="S79" s="77">
        <v>100</v>
      </c>
      <c r="T79" s="77">
        <v>100</v>
      </c>
      <c r="U79" s="77">
        <v>100</v>
      </c>
      <c r="V79" s="77">
        <v>100</v>
      </c>
      <c r="W79" s="77">
        <v>100</v>
      </c>
      <c r="X79" s="77"/>
      <c r="Y79" s="77">
        <v>100</v>
      </c>
      <c r="Z79" s="77">
        <v>100</v>
      </c>
      <c r="AA79" s="77">
        <v>100</v>
      </c>
      <c r="AB79" s="77">
        <v>100</v>
      </c>
      <c r="AD79" s="1" t="b">
        <f t="shared" si="1"/>
        <v>1</v>
      </c>
      <c r="AE79" s="77">
        <v>100</v>
      </c>
      <c r="AF79" s="77">
        <v>100</v>
      </c>
    </row>
    <row r="80" spans="1:32" x14ac:dyDescent="0.25">
      <c r="A80" s="33" t="s">
        <v>414</v>
      </c>
      <c r="B80" s="3" t="s">
        <v>468</v>
      </c>
      <c r="C80" s="2" t="s">
        <v>481</v>
      </c>
      <c r="D80" s="2" t="s">
        <v>523</v>
      </c>
      <c r="E80" s="34" t="s">
        <v>420</v>
      </c>
      <c r="F80" s="34" t="s">
        <v>95</v>
      </c>
      <c r="G80" s="60" t="s">
        <v>87</v>
      </c>
      <c r="H80" s="77" t="s">
        <v>87</v>
      </c>
      <c r="I80" s="77" t="s">
        <v>88</v>
      </c>
      <c r="J80" s="77" t="s">
        <v>88</v>
      </c>
      <c r="K80" s="77" t="s">
        <v>88</v>
      </c>
      <c r="L80" s="77"/>
      <c r="M80" s="77" t="s">
        <v>87</v>
      </c>
      <c r="N80" s="77" t="s">
        <v>87</v>
      </c>
      <c r="O80" s="77" t="s">
        <v>87</v>
      </c>
      <c r="P80" s="77" t="s">
        <v>87</v>
      </c>
      <c r="Q80" s="77" t="s">
        <v>87</v>
      </c>
      <c r="R80" s="77" t="s">
        <v>87</v>
      </c>
      <c r="S80" s="77" t="s">
        <v>87</v>
      </c>
      <c r="T80" s="77" t="s">
        <v>87</v>
      </c>
      <c r="U80" s="77" t="s">
        <v>87</v>
      </c>
      <c r="V80" s="77" t="s">
        <v>87</v>
      </c>
      <c r="W80" s="77" t="s">
        <v>87</v>
      </c>
      <c r="X80" s="77"/>
      <c r="Y80" s="77" t="s">
        <v>87</v>
      </c>
      <c r="Z80" s="77" t="s">
        <v>87</v>
      </c>
      <c r="AA80" s="77" t="s">
        <v>87</v>
      </c>
      <c r="AB80" s="77" t="s">
        <v>87</v>
      </c>
      <c r="AD80" s="1" t="b">
        <f t="shared" si="1"/>
        <v>1</v>
      </c>
      <c r="AE80" s="77" t="s">
        <v>88</v>
      </c>
      <c r="AF80" s="77" t="s">
        <v>88</v>
      </c>
    </row>
    <row r="81" spans="1:32" x14ac:dyDescent="0.25">
      <c r="A81" s="33" t="s">
        <v>400</v>
      </c>
      <c r="B81" s="3" t="s">
        <v>468</v>
      </c>
      <c r="C81" s="2" t="s">
        <v>481</v>
      </c>
      <c r="D81" s="2" t="s">
        <v>523</v>
      </c>
      <c r="E81" s="34" t="s">
        <v>403</v>
      </c>
      <c r="F81" s="34" t="s">
        <v>107</v>
      </c>
      <c r="G81" s="60">
        <v>29203.200000000001</v>
      </c>
      <c r="H81" s="85">
        <v>21600</v>
      </c>
      <c r="I81" s="85">
        <v>21600</v>
      </c>
      <c r="J81" s="85">
        <v>21600</v>
      </c>
      <c r="K81" s="85">
        <v>21600</v>
      </c>
      <c r="L81" s="85"/>
      <c r="M81" s="85">
        <v>21600</v>
      </c>
      <c r="N81" s="85">
        <v>21600</v>
      </c>
      <c r="O81" s="85">
        <v>21600</v>
      </c>
      <c r="P81" s="85">
        <v>21600</v>
      </c>
      <c r="Q81" s="85">
        <v>21600</v>
      </c>
      <c r="R81" s="85">
        <v>21600</v>
      </c>
      <c r="S81" s="85">
        <v>21600</v>
      </c>
      <c r="T81" s="85">
        <v>21600</v>
      </c>
      <c r="U81" s="85">
        <v>21600</v>
      </c>
      <c r="V81" s="85">
        <v>21600</v>
      </c>
      <c r="W81" s="85">
        <v>21600</v>
      </c>
      <c r="X81" s="85"/>
      <c r="Y81" s="85">
        <v>21600</v>
      </c>
      <c r="Z81" s="85">
        <v>21600</v>
      </c>
      <c r="AA81" s="85">
        <v>21600</v>
      </c>
      <c r="AB81" s="85">
        <v>21600</v>
      </c>
      <c r="AD81" s="1" t="b">
        <f t="shared" si="1"/>
        <v>1</v>
      </c>
      <c r="AE81" s="85">
        <v>21600</v>
      </c>
      <c r="AF81" s="85">
        <v>21600</v>
      </c>
    </row>
    <row r="82" spans="1:32" x14ac:dyDescent="0.25">
      <c r="A82" s="33" t="s">
        <v>410</v>
      </c>
      <c r="B82" s="3" t="s">
        <v>468</v>
      </c>
      <c r="C82" s="2" t="s">
        <v>481</v>
      </c>
      <c r="D82" s="2" t="s">
        <v>523</v>
      </c>
      <c r="E82" s="34" t="s">
        <v>416</v>
      </c>
      <c r="F82" s="34" t="s">
        <v>101</v>
      </c>
      <c r="G82" s="60">
        <v>0.5</v>
      </c>
      <c r="H82" s="77">
        <v>0.5</v>
      </c>
      <c r="I82" s="77">
        <v>0.5</v>
      </c>
      <c r="J82" s="77">
        <v>0.5</v>
      </c>
      <c r="K82" s="77">
        <v>0.5</v>
      </c>
      <c r="L82" s="77"/>
      <c r="M82" s="77">
        <v>0.5</v>
      </c>
      <c r="N82" s="77">
        <v>0.5</v>
      </c>
      <c r="O82" s="77">
        <v>0.5</v>
      </c>
      <c r="P82" s="77">
        <v>0.5</v>
      </c>
      <c r="Q82" s="77">
        <v>0.5</v>
      </c>
      <c r="R82" s="77">
        <v>0.5</v>
      </c>
      <c r="S82" s="77">
        <v>0.5</v>
      </c>
      <c r="T82" s="77">
        <v>0.5</v>
      </c>
      <c r="U82" s="77">
        <v>0.5</v>
      </c>
      <c r="V82" s="77">
        <v>0.5</v>
      </c>
      <c r="W82" s="77">
        <v>0.5</v>
      </c>
      <c r="X82" s="77"/>
      <c r="Y82" s="77">
        <v>0.5</v>
      </c>
      <c r="Z82" s="77">
        <v>0.5</v>
      </c>
      <c r="AA82" s="77">
        <v>0.5</v>
      </c>
      <c r="AB82" s="77">
        <v>0.5</v>
      </c>
      <c r="AD82" s="1" t="b">
        <f t="shared" si="1"/>
        <v>1</v>
      </c>
      <c r="AE82" s="77">
        <v>0.5</v>
      </c>
      <c r="AF82" s="77">
        <v>0.5</v>
      </c>
    </row>
    <row r="83" spans="1:32" x14ac:dyDescent="0.25">
      <c r="A83" s="33" t="s">
        <v>401</v>
      </c>
      <c r="B83" s="3" t="s">
        <v>468</v>
      </c>
      <c r="C83" s="2" t="s">
        <v>481</v>
      </c>
      <c r="D83" s="2" t="s">
        <v>523</v>
      </c>
      <c r="E83" s="34" t="s">
        <v>415</v>
      </c>
      <c r="F83" s="34" t="s">
        <v>107</v>
      </c>
      <c r="G83" s="60">
        <v>387936</v>
      </c>
      <c r="H83" s="85">
        <v>60479.999999999993</v>
      </c>
      <c r="I83" s="85">
        <v>60479.999999999993</v>
      </c>
      <c r="J83" s="85">
        <v>60479.999999999993</v>
      </c>
      <c r="K83" s="85">
        <v>60479.999999999993</v>
      </c>
      <c r="L83" s="85"/>
      <c r="M83" s="85">
        <v>60479.999999999993</v>
      </c>
      <c r="N83" s="85">
        <v>60479.999999999993</v>
      </c>
      <c r="O83" s="85">
        <v>60479.999999999993</v>
      </c>
      <c r="P83" s="85">
        <v>60479.999999999993</v>
      </c>
      <c r="Q83" s="85">
        <v>60479.999999999993</v>
      </c>
      <c r="R83" s="85">
        <v>60479.999999999993</v>
      </c>
      <c r="S83" s="85">
        <v>60479.999999999993</v>
      </c>
      <c r="T83" s="85">
        <v>60479.999999999993</v>
      </c>
      <c r="U83" s="85">
        <v>60479.999999999993</v>
      </c>
      <c r="V83" s="85">
        <v>60479.999999999993</v>
      </c>
      <c r="W83" s="85">
        <v>60479.999999999993</v>
      </c>
      <c r="X83" s="85"/>
      <c r="Y83" s="85">
        <v>60479.999999999993</v>
      </c>
      <c r="Z83" s="85">
        <v>60479.999999999993</v>
      </c>
      <c r="AA83" s="85">
        <v>60479.999999999993</v>
      </c>
      <c r="AB83" s="85">
        <v>60479.999999999993</v>
      </c>
      <c r="AD83" s="1" t="b">
        <f t="shared" si="1"/>
        <v>1</v>
      </c>
      <c r="AE83" s="85">
        <v>60479.999999999993</v>
      </c>
      <c r="AF83" s="85">
        <v>60479.999999999993</v>
      </c>
    </row>
    <row r="84" spans="1:32" x14ac:dyDescent="0.25">
      <c r="A84" s="33" t="s">
        <v>411</v>
      </c>
      <c r="B84" s="3" t="s">
        <v>468</v>
      </c>
      <c r="C84" s="2" t="s">
        <v>481</v>
      </c>
      <c r="D84" s="2" t="s">
        <v>523</v>
      </c>
      <c r="E84" s="34" t="s">
        <v>417</v>
      </c>
      <c r="F84" s="34" t="s">
        <v>101</v>
      </c>
      <c r="G84" s="60">
        <v>0.85</v>
      </c>
      <c r="H84" s="77">
        <v>0.85</v>
      </c>
      <c r="I84" s="77">
        <v>0.85</v>
      </c>
      <c r="J84" s="77">
        <v>0.85</v>
      </c>
      <c r="K84" s="77">
        <v>0.85</v>
      </c>
      <c r="L84" s="77"/>
      <c r="M84" s="77">
        <v>0.85</v>
      </c>
      <c r="N84" s="77">
        <v>0.85</v>
      </c>
      <c r="O84" s="77">
        <v>0.85</v>
      </c>
      <c r="P84" s="77">
        <v>0.85</v>
      </c>
      <c r="Q84" s="77">
        <v>0.85</v>
      </c>
      <c r="R84" s="77">
        <v>0.85</v>
      </c>
      <c r="S84" s="77">
        <v>0.85</v>
      </c>
      <c r="T84" s="77">
        <v>0.85</v>
      </c>
      <c r="U84" s="77">
        <v>0.85</v>
      </c>
      <c r="V84" s="77">
        <v>0.85</v>
      </c>
      <c r="W84" s="77">
        <v>0.85</v>
      </c>
      <c r="X84" s="77"/>
      <c r="Y84" s="77">
        <v>0.85</v>
      </c>
      <c r="Z84" s="77">
        <v>0.85</v>
      </c>
      <c r="AA84" s="77">
        <v>0.85</v>
      </c>
      <c r="AB84" s="77">
        <v>0.85</v>
      </c>
      <c r="AD84" s="1" t="b">
        <f t="shared" si="1"/>
        <v>1</v>
      </c>
      <c r="AE84" s="77">
        <v>0.85</v>
      </c>
      <c r="AF84" s="77">
        <v>0.85</v>
      </c>
    </row>
    <row r="85" spans="1:32" x14ac:dyDescent="0.25">
      <c r="A85" s="33" t="s">
        <v>402</v>
      </c>
      <c r="B85" s="3" t="s">
        <v>468</v>
      </c>
      <c r="C85" s="2" t="s">
        <v>481</v>
      </c>
      <c r="D85" s="2" t="s">
        <v>523</v>
      </c>
      <c r="E85" s="34" t="s">
        <v>404</v>
      </c>
      <c r="F85" s="34" t="s">
        <v>107</v>
      </c>
      <c r="G85" s="60">
        <v>518400</v>
      </c>
      <c r="H85" s="77">
        <v>518400</v>
      </c>
      <c r="I85" s="77">
        <v>518400</v>
      </c>
      <c r="J85" s="77">
        <v>518400</v>
      </c>
      <c r="K85" s="77">
        <v>518400</v>
      </c>
      <c r="L85" s="77"/>
      <c r="M85" s="77">
        <v>518400</v>
      </c>
      <c r="N85" s="77">
        <v>518400</v>
      </c>
      <c r="O85" s="77">
        <v>518400</v>
      </c>
      <c r="P85" s="77">
        <v>518400</v>
      </c>
      <c r="Q85" s="77">
        <v>518400</v>
      </c>
      <c r="R85" s="77">
        <v>518400</v>
      </c>
      <c r="S85" s="77">
        <v>518400</v>
      </c>
      <c r="T85" s="77">
        <v>518400</v>
      </c>
      <c r="U85" s="77">
        <v>518400</v>
      </c>
      <c r="V85" s="77">
        <v>518400</v>
      </c>
      <c r="W85" s="77">
        <v>518400</v>
      </c>
      <c r="X85" s="77"/>
      <c r="Y85" s="77">
        <v>518400</v>
      </c>
      <c r="Z85" s="77">
        <v>518400</v>
      </c>
      <c r="AA85" s="77">
        <v>518400</v>
      </c>
      <c r="AB85" s="77">
        <v>518400</v>
      </c>
      <c r="AD85" s="1" t="b">
        <f t="shared" si="1"/>
        <v>1</v>
      </c>
      <c r="AE85" s="77">
        <v>518400</v>
      </c>
      <c r="AF85" s="77">
        <v>518400</v>
      </c>
    </row>
    <row r="86" spans="1:32" x14ac:dyDescent="0.25">
      <c r="A86" s="33" t="s">
        <v>412</v>
      </c>
      <c r="B86" s="3" t="s">
        <v>468</v>
      </c>
      <c r="C86" s="2" t="s">
        <v>481</v>
      </c>
      <c r="D86" s="2" t="s">
        <v>523</v>
      </c>
      <c r="E86" s="34" t="s">
        <v>405</v>
      </c>
      <c r="F86" s="34" t="s">
        <v>107</v>
      </c>
      <c r="G86" s="60">
        <v>5184000</v>
      </c>
      <c r="H86" s="77">
        <v>5184000</v>
      </c>
      <c r="I86" s="77">
        <v>5184000</v>
      </c>
      <c r="J86" s="77">
        <v>5184000</v>
      </c>
      <c r="K86" s="77">
        <v>5184000</v>
      </c>
      <c r="L86" s="77"/>
      <c r="M86" s="77">
        <v>5184000</v>
      </c>
      <c r="N86" s="77">
        <v>5184000</v>
      </c>
      <c r="O86" s="77">
        <v>5184000</v>
      </c>
      <c r="P86" s="77">
        <v>5184000</v>
      </c>
      <c r="Q86" s="77">
        <v>5184000</v>
      </c>
      <c r="R86" s="77">
        <v>5184000</v>
      </c>
      <c r="S86" s="77">
        <v>5184000</v>
      </c>
      <c r="T86" s="77">
        <v>5184000</v>
      </c>
      <c r="U86" s="77">
        <v>5184000</v>
      </c>
      <c r="V86" s="77">
        <v>5184000</v>
      </c>
      <c r="W86" s="77">
        <v>5184000</v>
      </c>
      <c r="X86" s="77"/>
      <c r="Y86" s="77">
        <v>5184000</v>
      </c>
      <c r="Z86" s="77">
        <v>5184000</v>
      </c>
      <c r="AA86" s="77">
        <v>5184000</v>
      </c>
      <c r="AB86" s="77">
        <v>5184000</v>
      </c>
      <c r="AD86" s="1" t="b">
        <f t="shared" si="1"/>
        <v>1</v>
      </c>
      <c r="AE86" s="77">
        <v>5184000</v>
      </c>
      <c r="AF86" s="77">
        <v>5184000</v>
      </c>
    </row>
    <row r="87" spans="1:32" x14ac:dyDescent="0.25">
      <c r="A87" s="17" t="s">
        <v>51</v>
      </c>
      <c r="B87" s="3" t="s">
        <v>468</v>
      </c>
      <c r="C87" s="2" t="s">
        <v>481</v>
      </c>
      <c r="D87" s="2" t="s">
        <v>523</v>
      </c>
      <c r="E87" s="18" t="s">
        <v>163</v>
      </c>
      <c r="F87" s="18" t="s">
        <v>109</v>
      </c>
      <c r="G87" s="59">
        <v>259200</v>
      </c>
      <c r="H87" s="86">
        <v>50000</v>
      </c>
      <c r="I87" s="86">
        <v>50000</v>
      </c>
      <c r="J87" s="86">
        <v>50000</v>
      </c>
      <c r="K87" s="86">
        <v>50000</v>
      </c>
      <c r="L87" s="86"/>
      <c r="M87" s="86">
        <v>50000</v>
      </c>
      <c r="N87" s="86">
        <v>50000</v>
      </c>
      <c r="O87" s="86">
        <v>50000</v>
      </c>
      <c r="P87" s="86">
        <v>50000</v>
      </c>
      <c r="Q87" s="86">
        <v>50000</v>
      </c>
      <c r="R87" s="86">
        <v>50000</v>
      </c>
      <c r="S87" s="86">
        <v>50000</v>
      </c>
      <c r="T87" s="86">
        <v>50000</v>
      </c>
      <c r="U87" s="86">
        <v>50000</v>
      </c>
      <c r="V87" s="86">
        <v>50000</v>
      </c>
      <c r="W87" s="86">
        <v>50000</v>
      </c>
      <c r="X87" s="86"/>
      <c r="Y87" s="86">
        <v>50000</v>
      </c>
      <c r="Z87" s="86">
        <v>50000</v>
      </c>
      <c r="AA87" s="86">
        <v>50000</v>
      </c>
      <c r="AB87" s="86">
        <v>50000</v>
      </c>
      <c r="AD87" s="1" t="b">
        <f t="shared" si="1"/>
        <v>1</v>
      </c>
      <c r="AE87" s="86">
        <v>50000</v>
      </c>
      <c r="AF87" s="86">
        <v>50000</v>
      </c>
    </row>
    <row r="88" spans="1:32" x14ac:dyDescent="0.25">
      <c r="A88" s="17" t="s">
        <v>52</v>
      </c>
      <c r="B88" s="3" t="s">
        <v>468</v>
      </c>
      <c r="C88" s="2" t="s">
        <v>481</v>
      </c>
      <c r="D88" s="2" t="s">
        <v>523</v>
      </c>
      <c r="E88" s="18" t="s">
        <v>164</v>
      </c>
      <c r="F88" s="18" t="s">
        <v>197</v>
      </c>
      <c r="G88" s="59">
        <v>140000</v>
      </c>
      <c r="H88" s="77">
        <v>140000</v>
      </c>
      <c r="I88" s="77">
        <v>140000</v>
      </c>
      <c r="J88" s="77">
        <v>140000</v>
      </c>
      <c r="K88" s="77">
        <v>140000</v>
      </c>
      <c r="L88" s="77"/>
      <c r="M88" s="77">
        <v>140000</v>
      </c>
      <c r="N88" s="77">
        <v>140000</v>
      </c>
      <c r="O88" s="77">
        <v>140000</v>
      </c>
      <c r="P88" s="77">
        <v>140000</v>
      </c>
      <c r="Q88" s="77">
        <v>140000</v>
      </c>
      <c r="R88" s="77">
        <v>140000</v>
      </c>
      <c r="S88" s="77">
        <v>140000</v>
      </c>
      <c r="T88" s="77">
        <v>140000</v>
      </c>
      <c r="U88" s="77">
        <v>140000</v>
      </c>
      <c r="V88" s="77">
        <v>140000</v>
      </c>
      <c r="W88" s="77">
        <v>140000</v>
      </c>
      <c r="X88" s="77"/>
      <c r="Y88" s="77">
        <v>140000</v>
      </c>
      <c r="Z88" s="77">
        <v>140000</v>
      </c>
      <c r="AA88" s="77">
        <v>140000</v>
      </c>
      <c r="AB88" s="77">
        <v>140000</v>
      </c>
      <c r="AD88" s="1" t="b">
        <f t="shared" si="1"/>
        <v>1</v>
      </c>
      <c r="AE88" s="77">
        <v>140000</v>
      </c>
      <c r="AF88" s="77">
        <v>140000</v>
      </c>
    </row>
    <row r="89" spans="1:32" x14ac:dyDescent="0.25">
      <c r="A89" s="17" t="s">
        <v>53</v>
      </c>
      <c r="B89" s="3" t="s">
        <v>468</v>
      </c>
      <c r="C89" s="2" t="s">
        <v>481</v>
      </c>
      <c r="D89" s="2" t="s">
        <v>523</v>
      </c>
      <c r="E89" s="18" t="s">
        <v>165</v>
      </c>
      <c r="F89" s="18" t="s">
        <v>198</v>
      </c>
      <c r="G89" s="59">
        <v>3.6636136999999999E-2</v>
      </c>
      <c r="H89" s="78">
        <v>3.6636136999999999E-2</v>
      </c>
      <c r="I89" s="78">
        <v>3.6636136999999999E-2</v>
      </c>
      <c r="J89" s="78">
        <v>3.6636136999999999E-2</v>
      </c>
      <c r="K89" s="78">
        <v>3.6636136999999999E-2</v>
      </c>
      <c r="L89" s="78"/>
      <c r="M89" s="78">
        <v>3.6636136999999999E-2</v>
      </c>
      <c r="N89" s="78">
        <v>3.6636136999999999E-2</v>
      </c>
      <c r="O89" s="78">
        <v>3.6636136999999999E-2</v>
      </c>
      <c r="P89" s="78">
        <v>3.6636136999999999E-2</v>
      </c>
      <c r="Q89" s="78">
        <v>3.6636136999999999E-2</v>
      </c>
      <c r="R89" s="78">
        <v>3.6636136999999999E-2</v>
      </c>
      <c r="S89" s="78">
        <v>3.6636136999999999E-2</v>
      </c>
      <c r="T89" s="78">
        <v>3.6636136999999999E-2</v>
      </c>
      <c r="U89" s="78">
        <v>3.6636136999999999E-2</v>
      </c>
      <c r="V89" s="78">
        <v>3.6636136999999999E-2</v>
      </c>
      <c r="W89" s="78">
        <v>3.6636136999999999E-2</v>
      </c>
      <c r="X89" s="78"/>
      <c r="Y89" s="78">
        <v>3.6636136999999999E-2</v>
      </c>
      <c r="Z89" s="78">
        <v>3.6636136999999999E-2</v>
      </c>
      <c r="AA89" s="78">
        <v>3.6636136999999999E-2</v>
      </c>
      <c r="AB89" s="78">
        <v>3.6636136999999999E-2</v>
      </c>
      <c r="AD89" s="1" t="b">
        <f t="shared" si="1"/>
        <v>1</v>
      </c>
      <c r="AE89" s="78">
        <v>3.6636136999999999E-2</v>
      </c>
      <c r="AF89" s="78">
        <v>3.6636136999999999E-2</v>
      </c>
    </row>
    <row r="90" spans="1:32" x14ac:dyDescent="0.25">
      <c r="A90" s="17" t="s">
        <v>54</v>
      </c>
      <c r="B90" s="3" t="s">
        <v>468</v>
      </c>
      <c r="C90" s="2" t="s">
        <v>481</v>
      </c>
      <c r="D90" s="2" t="s">
        <v>523</v>
      </c>
      <c r="E90" s="18" t="s">
        <v>166</v>
      </c>
      <c r="F90" s="18" t="s">
        <v>99</v>
      </c>
      <c r="G90" s="59">
        <v>4.4999999999999997E-3</v>
      </c>
      <c r="H90" s="77">
        <v>4.4999999999999997E-3</v>
      </c>
      <c r="I90" s="77">
        <v>4.4999999999999997E-3</v>
      </c>
      <c r="J90" s="77">
        <v>4.4999999999999997E-3</v>
      </c>
      <c r="K90" s="77">
        <v>4.4999999999999997E-3</v>
      </c>
      <c r="L90" s="77"/>
      <c r="M90" s="77">
        <v>4.4999999999999997E-3</v>
      </c>
      <c r="N90" s="77">
        <v>4.4999999999999997E-3</v>
      </c>
      <c r="O90" s="77">
        <v>4.4999999999999997E-3</v>
      </c>
      <c r="P90" s="77">
        <v>4.4999999999999997E-3</v>
      </c>
      <c r="Q90" s="77">
        <v>4.4999999999999997E-3</v>
      </c>
      <c r="R90" s="77">
        <v>4.4999999999999997E-3</v>
      </c>
      <c r="S90" s="77">
        <v>4.4999999999999997E-3</v>
      </c>
      <c r="T90" s="77">
        <v>4.4999999999999997E-3</v>
      </c>
      <c r="U90" s="77">
        <v>4.4999999999999997E-3</v>
      </c>
      <c r="V90" s="77">
        <v>4.4999999999999997E-3</v>
      </c>
      <c r="W90" s="77">
        <v>4.4999999999999997E-3</v>
      </c>
      <c r="X90" s="77"/>
      <c r="Y90" s="77">
        <v>4.4999999999999997E-3</v>
      </c>
      <c r="Z90" s="77">
        <v>4.4999999999999997E-3</v>
      </c>
      <c r="AA90" s="77">
        <v>4.4999999999999997E-3</v>
      </c>
      <c r="AB90" s="77">
        <v>4.4999999999999997E-3</v>
      </c>
      <c r="AD90" s="1" t="b">
        <f t="shared" si="1"/>
        <v>1</v>
      </c>
      <c r="AE90" s="77">
        <v>4.4999999999999997E-3</v>
      </c>
      <c r="AF90" s="77">
        <v>4.4999999999999997E-3</v>
      </c>
    </row>
    <row r="91" spans="1:32" x14ac:dyDescent="0.25">
      <c r="A91" s="17" t="s">
        <v>55</v>
      </c>
      <c r="B91" s="3" t="s">
        <v>468</v>
      </c>
      <c r="C91" s="2" t="s">
        <v>481</v>
      </c>
      <c r="D91" s="2" t="s">
        <v>523</v>
      </c>
      <c r="E91" s="18" t="s">
        <v>167</v>
      </c>
      <c r="F91" s="18" t="s">
        <v>101</v>
      </c>
      <c r="G91" s="59">
        <v>0.05</v>
      </c>
      <c r="H91" s="77">
        <v>0.06</v>
      </c>
      <c r="I91" s="77">
        <v>0.05</v>
      </c>
      <c r="J91" s="77">
        <v>0.05</v>
      </c>
      <c r="K91" s="77">
        <v>0.05</v>
      </c>
      <c r="L91" s="77"/>
      <c r="M91" s="77">
        <v>0.05</v>
      </c>
      <c r="N91" s="77">
        <v>0.05</v>
      </c>
      <c r="O91" s="77">
        <v>0.05</v>
      </c>
      <c r="P91" s="77">
        <v>0.05</v>
      </c>
      <c r="Q91" s="77">
        <v>0.05</v>
      </c>
      <c r="R91" s="77">
        <v>0.05</v>
      </c>
      <c r="S91" s="77">
        <v>0.05</v>
      </c>
      <c r="T91" s="77">
        <v>0.05</v>
      </c>
      <c r="U91" s="77">
        <v>0.05</v>
      </c>
      <c r="V91" s="77">
        <v>0.05</v>
      </c>
      <c r="W91" s="77">
        <v>0.05</v>
      </c>
      <c r="X91" s="77"/>
      <c r="Y91" s="77">
        <v>0.05</v>
      </c>
      <c r="Z91" s="77">
        <v>0.05</v>
      </c>
      <c r="AA91" s="77">
        <v>0.05</v>
      </c>
      <c r="AB91" s="77">
        <v>0.05</v>
      </c>
      <c r="AD91" s="1" t="b">
        <f t="shared" si="1"/>
        <v>1</v>
      </c>
      <c r="AE91" s="77">
        <v>0.05</v>
      </c>
      <c r="AF91" s="77">
        <v>0.05</v>
      </c>
    </row>
    <row r="92" spans="1:32" x14ac:dyDescent="0.25">
      <c r="A92" s="19" t="s">
        <v>214</v>
      </c>
      <c r="B92" s="3" t="s">
        <v>468</v>
      </c>
      <c r="C92" s="2" t="s">
        <v>481</v>
      </c>
      <c r="D92" s="2" t="s">
        <v>523</v>
      </c>
      <c r="E92" s="20" t="s">
        <v>291</v>
      </c>
      <c r="F92" s="20" t="s">
        <v>99</v>
      </c>
      <c r="G92" s="61">
        <v>6.0000000000000002E-6</v>
      </c>
      <c r="H92" s="77">
        <v>6.0000000000000002E-6</v>
      </c>
      <c r="I92" s="77">
        <v>6.0000000000000002E-6</v>
      </c>
      <c r="J92" s="77">
        <v>6.0000000000000002E-6</v>
      </c>
      <c r="K92" s="77">
        <v>6.0000000000000002E-6</v>
      </c>
      <c r="L92" s="77"/>
      <c r="M92" s="77">
        <v>6.0000000000000002E-6</v>
      </c>
      <c r="N92" s="77">
        <v>6.0000000000000002E-6</v>
      </c>
      <c r="O92" s="77">
        <v>6.0000000000000002E-6</v>
      </c>
      <c r="P92" s="77">
        <v>6.0000000000000002E-6</v>
      </c>
      <c r="Q92" s="77">
        <v>6.0000000000000002E-6</v>
      </c>
      <c r="R92" s="77">
        <v>6.0000000000000002E-6</v>
      </c>
      <c r="S92" s="77">
        <v>6.0000000000000002E-6</v>
      </c>
      <c r="T92" s="77">
        <v>6.0000000000000002E-6</v>
      </c>
      <c r="U92" s="77">
        <v>6.0000000000000002E-6</v>
      </c>
      <c r="V92" s="77">
        <v>6.0000000000000002E-6</v>
      </c>
      <c r="W92" s="77">
        <v>6.0000000000000002E-6</v>
      </c>
      <c r="X92" s="77"/>
      <c r="Y92" s="77">
        <v>6.0000000000000002E-6</v>
      </c>
      <c r="Z92" s="77">
        <v>6.0000000000000002E-6</v>
      </c>
      <c r="AA92" s="77">
        <v>6.0000000000000002E-6</v>
      </c>
      <c r="AB92" s="77">
        <v>6.0000000000000002E-6</v>
      </c>
      <c r="AD92" s="1" t="b">
        <f t="shared" si="1"/>
        <v>1</v>
      </c>
      <c r="AE92" s="77">
        <v>6.0000000000000002E-6</v>
      </c>
      <c r="AF92" s="77">
        <v>6.0000000000000002E-6</v>
      </c>
    </row>
    <row r="93" spans="1:32" x14ac:dyDescent="0.25">
      <c r="A93" s="19" t="s">
        <v>215</v>
      </c>
      <c r="B93" s="3" t="s">
        <v>468</v>
      </c>
      <c r="C93" s="2" t="s">
        <v>481</v>
      </c>
      <c r="D93" s="2" t="s">
        <v>523</v>
      </c>
      <c r="E93" s="20" t="s">
        <v>292</v>
      </c>
      <c r="F93" s="20" t="s">
        <v>99</v>
      </c>
      <c r="G93" s="61">
        <v>1E-3</v>
      </c>
      <c r="H93" s="77">
        <v>1E-3</v>
      </c>
      <c r="I93" s="77">
        <v>1E-3</v>
      </c>
      <c r="J93" s="77">
        <v>1E-3</v>
      </c>
      <c r="K93" s="77">
        <v>1E-3</v>
      </c>
      <c r="L93" s="77"/>
      <c r="M93" s="77">
        <v>1E-3</v>
      </c>
      <c r="N93" s="77">
        <v>1E-3</v>
      </c>
      <c r="O93" s="77">
        <v>1E-3</v>
      </c>
      <c r="P93" s="77">
        <v>1E-3</v>
      </c>
      <c r="Q93" s="77">
        <v>1E-3</v>
      </c>
      <c r="R93" s="77">
        <v>1E-3</v>
      </c>
      <c r="S93" s="77">
        <v>1E-3</v>
      </c>
      <c r="T93" s="77">
        <v>1E-3</v>
      </c>
      <c r="U93" s="77">
        <v>1E-3</v>
      </c>
      <c r="V93" s="77">
        <v>1E-3</v>
      </c>
      <c r="W93" s="77">
        <v>1E-3</v>
      </c>
      <c r="X93" s="77"/>
      <c r="Y93" s="77">
        <v>1E-3</v>
      </c>
      <c r="Z93" s="77">
        <v>0</v>
      </c>
      <c r="AA93" s="77">
        <v>1E-3</v>
      </c>
      <c r="AB93" s="77">
        <v>1E-3</v>
      </c>
      <c r="AD93" s="1" t="b">
        <f t="shared" si="1"/>
        <v>1</v>
      </c>
      <c r="AE93" s="77">
        <v>0</v>
      </c>
      <c r="AF93" s="77">
        <v>0</v>
      </c>
    </row>
    <row r="94" spans="1:32" x14ac:dyDescent="0.25">
      <c r="A94" s="19" t="s">
        <v>216</v>
      </c>
      <c r="B94" s="3" t="s">
        <v>468</v>
      </c>
      <c r="C94" s="2" t="s">
        <v>481</v>
      </c>
      <c r="D94" s="2" t="s">
        <v>523</v>
      </c>
      <c r="E94" s="20" t="s">
        <v>296</v>
      </c>
      <c r="F94" s="20" t="s">
        <v>295</v>
      </c>
      <c r="G94" s="61">
        <v>374999999.99999994</v>
      </c>
      <c r="H94" s="77">
        <v>374999999.99999994</v>
      </c>
      <c r="I94" s="77">
        <v>374999999.99999994</v>
      </c>
      <c r="J94" s="77">
        <v>374999999.99999994</v>
      </c>
      <c r="K94" s="77">
        <v>374999999.99999994</v>
      </c>
      <c r="L94" s="77"/>
      <c r="M94" s="77">
        <v>374999999.99999994</v>
      </c>
      <c r="N94" s="77">
        <v>374999999.99999994</v>
      </c>
      <c r="O94" s="77">
        <v>374999999.99999994</v>
      </c>
      <c r="P94" s="77">
        <v>374999999.99999994</v>
      </c>
      <c r="Q94" s="77">
        <v>374999999.99999994</v>
      </c>
      <c r="R94" s="77">
        <v>374999999.99999994</v>
      </c>
      <c r="S94" s="77">
        <v>374999999.99999994</v>
      </c>
      <c r="T94" s="77">
        <v>374999999.99999994</v>
      </c>
      <c r="U94" s="77">
        <v>374999999.99999994</v>
      </c>
      <c r="V94" s="77">
        <v>374999999.99999994</v>
      </c>
      <c r="W94" s="77">
        <v>374999999.99999994</v>
      </c>
      <c r="X94" s="77"/>
      <c r="Y94" s="77">
        <v>374999999.99999994</v>
      </c>
      <c r="Z94" s="77">
        <v>374999999.99999994</v>
      </c>
      <c r="AA94" s="77">
        <v>374999999.99999994</v>
      </c>
      <c r="AB94" s="77">
        <v>374999999.99999994</v>
      </c>
      <c r="AD94" s="1" t="b">
        <f t="shared" si="1"/>
        <v>1</v>
      </c>
      <c r="AE94" s="77">
        <v>374999999.99999994</v>
      </c>
      <c r="AF94" s="77">
        <v>374999999.99999994</v>
      </c>
    </row>
    <row r="95" spans="1:32" x14ac:dyDescent="0.25">
      <c r="A95" s="19" t="s">
        <v>217</v>
      </c>
      <c r="B95" s="3" t="s">
        <v>468</v>
      </c>
      <c r="C95" s="2" t="s">
        <v>481</v>
      </c>
      <c r="D95" s="2" t="s">
        <v>523</v>
      </c>
      <c r="E95" s="20" t="s">
        <v>293</v>
      </c>
      <c r="F95" s="20" t="s">
        <v>298</v>
      </c>
      <c r="G95" s="61">
        <v>3.7037037037037038E-3</v>
      </c>
      <c r="H95" s="78">
        <v>3.7037037037037038E-3</v>
      </c>
      <c r="I95" s="78">
        <v>3.7037037037037038E-3</v>
      </c>
      <c r="J95" s="78">
        <v>3.7037037037037038E-3</v>
      </c>
      <c r="K95" s="78">
        <v>3.7037037037037038E-3</v>
      </c>
      <c r="L95" s="78"/>
      <c r="M95" s="78">
        <v>3.7037037037037038E-3</v>
      </c>
      <c r="N95" s="78">
        <v>3.7037037037037038E-3</v>
      </c>
      <c r="O95" s="78">
        <v>3.7037037037037038E-3</v>
      </c>
      <c r="P95" s="78">
        <v>3.7037037037037038E-3</v>
      </c>
      <c r="Q95" s="78">
        <v>3.7037037037037038E-3</v>
      </c>
      <c r="R95" s="78">
        <v>3.7037037037037038E-3</v>
      </c>
      <c r="S95" s="78">
        <v>3.7037037037037038E-3</v>
      </c>
      <c r="T95" s="78">
        <v>3.7037037037037038E-3</v>
      </c>
      <c r="U95" s="78">
        <v>3.7037037037037038E-3</v>
      </c>
      <c r="V95" s="78">
        <v>3.7037037037037038E-3</v>
      </c>
      <c r="W95" s="78">
        <v>3.7037037037037038E-3</v>
      </c>
      <c r="X95" s="78"/>
      <c r="Y95" s="78">
        <v>3.7037037037037038E-3</v>
      </c>
      <c r="Z95" s="78">
        <v>0</v>
      </c>
      <c r="AA95" s="78">
        <v>3.7037037037037038E-3</v>
      </c>
      <c r="AB95" s="78">
        <v>3.7037037037037038E-3</v>
      </c>
      <c r="AD95" s="1" t="b">
        <f t="shared" si="1"/>
        <v>1</v>
      </c>
      <c r="AE95" s="78">
        <v>3.7037037037037038E-3</v>
      </c>
      <c r="AF95" s="78">
        <v>3.7037037037037038E-3</v>
      </c>
    </row>
    <row r="96" spans="1:32" x14ac:dyDescent="0.25">
      <c r="A96" s="19" t="s">
        <v>218</v>
      </c>
      <c r="B96" s="3" t="s">
        <v>468</v>
      </c>
      <c r="C96" s="2" t="s">
        <v>481</v>
      </c>
      <c r="D96" s="2" t="s">
        <v>523</v>
      </c>
      <c r="E96" s="20" t="s">
        <v>294</v>
      </c>
      <c r="F96" s="20" t="s">
        <v>297</v>
      </c>
      <c r="G96" s="61">
        <v>165600</v>
      </c>
      <c r="H96" s="77">
        <v>165600</v>
      </c>
      <c r="I96" s="77">
        <v>165600</v>
      </c>
      <c r="J96" s="77">
        <v>165600</v>
      </c>
      <c r="K96" s="77">
        <v>165600</v>
      </c>
      <c r="L96" s="77"/>
      <c r="M96" s="77">
        <v>165600</v>
      </c>
      <c r="N96" s="77">
        <v>165600</v>
      </c>
      <c r="O96" s="77">
        <v>165600</v>
      </c>
      <c r="P96" s="77">
        <v>165600</v>
      </c>
      <c r="Q96" s="77">
        <v>165600</v>
      </c>
      <c r="R96" s="77">
        <v>165600</v>
      </c>
      <c r="S96" s="77">
        <v>165600</v>
      </c>
      <c r="T96" s="77">
        <v>165600</v>
      </c>
      <c r="U96" s="77">
        <v>165600</v>
      </c>
      <c r="V96" s="77">
        <v>165600</v>
      </c>
      <c r="W96" s="77">
        <v>165600</v>
      </c>
      <c r="X96" s="77"/>
      <c r="Y96" s="77">
        <v>165600</v>
      </c>
      <c r="Z96" s="77">
        <v>165600</v>
      </c>
      <c r="AA96" s="77">
        <v>165600</v>
      </c>
      <c r="AB96" s="77">
        <v>165600</v>
      </c>
      <c r="AD96" s="1" t="b">
        <f t="shared" si="1"/>
        <v>1</v>
      </c>
      <c r="AE96" s="77">
        <v>165600</v>
      </c>
      <c r="AF96" s="77">
        <v>165600</v>
      </c>
    </row>
    <row r="97" spans="1:32" x14ac:dyDescent="0.25">
      <c r="A97" s="13" t="s">
        <v>60</v>
      </c>
      <c r="B97" s="3" t="s">
        <v>468</v>
      </c>
      <c r="C97" s="2" t="s">
        <v>481</v>
      </c>
      <c r="D97" s="2" t="s">
        <v>523</v>
      </c>
      <c r="E97" s="14" t="s">
        <v>172</v>
      </c>
      <c r="F97" s="14" t="s">
        <v>110</v>
      </c>
      <c r="G97" s="50">
        <v>20</v>
      </c>
      <c r="H97" s="77">
        <v>20</v>
      </c>
      <c r="I97" s="77">
        <v>20</v>
      </c>
      <c r="J97" s="77">
        <v>20</v>
      </c>
      <c r="K97" s="77">
        <v>20</v>
      </c>
      <c r="L97" s="77"/>
      <c r="M97" s="77">
        <v>20</v>
      </c>
      <c r="N97" s="77">
        <v>20</v>
      </c>
      <c r="O97" s="77">
        <v>20</v>
      </c>
      <c r="P97" s="77">
        <v>20</v>
      </c>
      <c r="Q97" s="77">
        <v>20</v>
      </c>
      <c r="R97" s="77">
        <v>20</v>
      </c>
      <c r="S97" s="77">
        <v>20</v>
      </c>
      <c r="T97" s="77">
        <v>20</v>
      </c>
      <c r="U97" s="77">
        <v>20</v>
      </c>
      <c r="V97" s="77">
        <v>20</v>
      </c>
      <c r="W97" s="77">
        <v>20</v>
      </c>
      <c r="X97" s="77"/>
      <c r="Y97" s="77">
        <v>20</v>
      </c>
      <c r="Z97" s="77">
        <v>20</v>
      </c>
      <c r="AA97" s="77">
        <v>20</v>
      </c>
      <c r="AB97" s="77">
        <v>20</v>
      </c>
      <c r="AD97" s="1" t="b">
        <f t="shared" si="1"/>
        <v>1</v>
      </c>
      <c r="AE97" s="77">
        <v>20</v>
      </c>
      <c r="AF97" s="77">
        <v>20</v>
      </c>
    </row>
    <row r="98" spans="1:32" x14ac:dyDescent="0.25">
      <c r="A98" s="13" t="s">
        <v>209</v>
      </c>
      <c r="B98" s="3" t="s">
        <v>468</v>
      </c>
      <c r="C98" s="2" t="s">
        <v>481</v>
      </c>
      <c r="D98" s="2" t="s">
        <v>523</v>
      </c>
      <c r="E98" s="14" t="s">
        <v>290</v>
      </c>
      <c r="F98" s="14" t="s">
        <v>101</v>
      </c>
      <c r="G98" s="50">
        <v>1</v>
      </c>
      <c r="H98" s="77">
        <v>1</v>
      </c>
      <c r="I98" s="77">
        <v>1</v>
      </c>
      <c r="J98" s="77">
        <v>1</v>
      </c>
      <c r="K98" s="77">
        <v>1</v>
      </c>
      <c r="L98" s="77"/>
      <c r="M98" s="77">
        <v>1</v>
      </c>
      <c r="N98" s="77">
        <v>1</v>
      </c>
      <c r="O98" s="77">
        <v>1</v>
      </c>
      <c r="P98" s="77">
        <v>1</v>
      </c>
      <c r="Q98" s="77">
        <v>1</v>
      </c>
      <c r="R98" s="77">
        <v>1</v>
      </c>
      <c r="S98" s="77">
        <v>1</v>
      </c>
      <c r="T98" s="77">
        <v>1</v>
      </c>
      <c r="U98" s="77">
        <v>1</v>
      </c>
      <c r="V98" s="77">
        <v>1</v>
      </c>
      <c r="W98" s="77">
        <v>1</v>
      </c>
      <c r="X98" s="77"/>
      <c r="Y98" s="77">
        <v>1</v>
      </c>
      <c r="Z98" s="77">
        <v>1</v>
      </c>
      <c r="AA98" s="77">
        <v>1</v>
      </c>
      <c r="AB98" s="77">
        <v>1</v>
      </c>
      <c r="AD98" s="1" t="b">
        <f t="shared" si="1"/>
        <v>1</v>
      </c>
      <c r="AE98" s="77">
        <v>1</v>
      </c>
      <c r="AF98" s="77">
        <v>1</v>
      </c>
    </row>
    <row r="99" spans="1:32" x14ac:dyDescent="0.25">
      <c r="A99" s="13" t="s">
        <v>59</v>
      </c>
      <c r="B99" s="3" t="s">
        <v>468</v>
      </c>
      <c r="C99" s="2" t="s">
        <v>481</v>
      </c>
      <c r="D99" s="2" t="s">
        <v>523</v>
      </c>
      <c r="E99" s="14" t="s">
        <v>171</v>
      </c>
      <c r="F99" s="14" t="s">
        <v>103</v>
      </c>
      <c r="G99" s="50">
        <v>21</v>
      </c>
      <c r="H99" s="77">
        <v>21</v>
      </c>
      <c r="I99" s="77">
        <v>21</v>
      </c>
      <c r="J99" s="77">
        <v>21</v>
      </c>
      <c r="K99" s="77">
        <v>21</v>
      </c>
      <c r="L99" s="77"/>
      <c r="M99" s="77">
        <v>21</v>
      </c>
      <c r="N99" s="77">
        <v>21</v>
      </c>
      <c r="O99" s="77">
        <v>21</v>
      </c>
      <c r="P99" s="77">
        <v>21</v>
      </c>
      <c r="Q99" s="77">
        <v>21</v>
      </c>
      <c r="R99" s="77">
        <v>21</v>
      </c>
      <c r="S99" s="77">
        <v>21</v>
      </c>
      <c r="T99" s="77">
        <v>21</v>
      </c>
      <c r="U99" s="77">
        <v>21</v>
      </c>
      <c r="V99" s="77">
        <v>21</v>
      </c>
      <c r="W99" s="77">
        <v>21</v>
      </c>
      <c r="X99" s="77"/>
      <c r="Y99" s="77">
        <v>21</v>
      </c>
      <c r="Z99" s="77">
        <v>21</v>
      </c>
      <c r="AA99" s="77">
        <v>21</v>
      </c>
      <c r="AB99" s="77">
        <v>21</v>
      </c>
      <c r="AD99" s="1" t="b">
        <f t="shared" si="1"/>
        <v>1</v>
      </c>
      <c r="AE99" s="77">
        <v>21</v>
      </c>
      <c r="AF99" s="77">
        <v>21</v>
      </c>
    </row>
    <row r="100" spans="1:32" x14ac:dyDescent="0.25">
      <c r="A100" s="23" t="s">
        <v>65</v>
      </c>
      <c r="B100" s="3" t="s">
        <v>468</v>
      </c>
      <c r="C100" s="2" t="s">
        <v>481</v>
      </c>
      <c r="D100" s="2" t="s">
        <v>523</v>
      </c>
      <c r="E100" s="24" t="s">
        <v>177</v>
      </c>
      <c r="F100" s="24" t="s">
        <v>183</v>
      </c>
      <c r="G100" s="58">
        <v>0.64</v>
      </c>
      <c r="H100" s="77">
        <v>0.64</v>
      </c>
      <c r="I100" s="77">
        <v>0.64</v>
      </c>
      <c r="J100" s="77">
        <v>0.64</v>
      </c>
      <c r="K100" s="77">
        <v>0.64</v>
      </c>
      <c r="L100" s="77"/>
      <c r="M100" s="77">
        <v>0.64</v>
      </c>
      <c r="N100" s="77">
        <v>0.64</v>
      </c>
      <c r="O100" s="77">
        <v>0.64</v>
      </c>
      <c r="P100" s="77">
        <v>0.64</v>
      </c>
      <c r="Q100" s="77">
        <v>0.64</v>
      </c>
      <c r="R100" s="77">
        <v>0.64</v>
      </c>
      <c r="S100" s="77">
        <v>0.64</v>
      </c>
      <c r="T100" s="77">
        <v>0.64</v>
      </c>
      <c r="U100" s="77">
        <v>0.64</v>
      </c>
      <c r="V100" s="77">
        <v>0.64</v>
      </c>
      <c r="W100" s="77">
        <v>0.64</v>
      </c>
      <c r="X100" s="77"/>
      <c r="Y100" s="77">
        <v>0.64</v>
      </c>
      <c r="Z100" s="77">
        <v>0.64</v>
      </c>
      <c r="AA100" s="77">
        <v>0.64</v>
      </c>
      <c r="AB100" s="77">
        <v>0.64</v>
      </c>
      <c r="AD100" s="1" t="b">
        <f t="shared" si="1"/>
        <v>1</v>
      </c>
      <c r="AE100" s="77">
        <v>0.64</v>
      </c>
      <c r="AF100" s="77">
        <v>0.64</v>
      </c>
    </row>
    <row r="101" spans="1:32" x14ac:dyDescent="0.25">
      <c r="A101" s="23" t="s">
        <v>367</v>
      </c>
      <c r="B101" s="3" t="s">
        <v>468</v>
      </c>
      <c r="C101" s="2" t="s">
        <v>481</v>
      </c>
      <c r="D101" s="2" t="s">
        <v>523</v>
      </c>
      <c r="E101" s="24" t="s">
        <v>370</v>
      </c>
      <c r="F101" s="24" t="s">
        <v>183</v>
      </c>
      <c r="G101" s="58">
        <v>8</v>
      </c>
      <c r="H101" s="77">
        <v>8</v>
      </c>
      <c r="I101" s="77">
        <v>8</v>
      </c>
      <c r="J101" s="77">
        <v>8</v>
      </c>
      <c r="K101" s="77">
        <v>8</v>
      </c>
      <c r="L101" s="77"/>
      <c r="M101" s="77">
        <v>8</v>
      </c>
      <c r="N101" s="77">
        <v>8</v>
      </c>
      <c r="O101" s="77">
        <v>8</v>
      </c>
      <c r="P101" s="77">
        <v>8</v>
      </c>
      <c r="Q101" s="77">
        <v>8</v>
      </c>
      <c r="R101" s="77">
        <v>8</v>
      </c>
      <c r="S101" s="77">
        <v>8</v>
      </c>
      <c r="T101" s="77">
        <v>8</v>
      </c>
      <c r="U101" s="77">
        <v>8</v>
      </c>
      <c r="V101" s="77">
        <v>8</v>
      </c>
      <c r="W101" s="77">
        <v>8</v>
      </c>
      <c r="X101" s="77"/>
      <c r="Y101" s="77">
        <v>8</v>
      </c>
      <c r="Z101" s="77">
        <v>8</v>
      </c>
      <c r="AA101" s="77">
        <v>8</v>
      </c>
      <c r="AB101" s="77">
        <v>8</v>
      </c>
      <c r="AD101" s="1" t="b">
        <f t="shared" si="1"/>
        <v>1</v>
      </c>
      <c r="AE101" s="77">
        <v>8</v>
      </c>
      <c r="AF101" s="77">
        <v>8</v>
      </c>
    </row>
    <row r="102" spans="1:32" x14ac:dyDescent="0.25">
      <c r="A102" s="23" t="s">
        <v>368</v>
      </c>
      <c r="B102" s="3" t="s">
        <v>468</v>
      </c>
      <c r="C102" s="2" t="s">
        <v>481</v>
      </c>
      <c r="D102" s="2" t="s">
        <v>523</v>
      </c>
      <c r="E102" s="24" t="s">
        <v>371</v>
      </c>
      <c r="F102" s="24" t="s">
        <v>183</v>
      </c>
      <c r="G102" s="58">
        <v>10</v>
      </c>
      <c r="H102" s="77">
        <v>10</v>
      </c>
      <c r="I102" s="77">
        <v>10</v>
      </c>
      <c r="J102" s="77">
        <v>10</v>
      </c>
      <c r="K102" s="77">
        <v>10</v>
      </c>
      <c r="L102" s="77"/>
      <c r="M102" s="77">
        <v>10</v>
      </c>
      <c r="N102" s="77">
        <v>10</v>
      </c>
      <c r="O102" s="77">
        <v>10</v>
      </c>
      <c r="P102" s="77">
        <v>10</v>
      </c>
      <c r="Q102" s="77">
        <v>10</v>
      </c>
      <c r="R102" s="77">
        <v>10</v>
      </c>
      <c r="S102" s="77">
        <v>10</v>
      </c>
      <c r="T102" s="77">
        <v>10</v>
      </c>
      <c r="U102" s="77">
        <v>10</v>
      </c>
      <c r="V102" s="77">
        <v>10</v>
      </c>
      <c r="W102" s="77">
        <v>10</v>
      </c>
      <c r="X102" s="77"/>
      <c r="Y102" s="77">
        <v>10</v>
      </c>
      <c r="Z102" s="77">
        <v>10</v>
      </c>
      <c r="AA102" s="77">
        <v>10</v>
      </c>
      <c r="AB102" s="77">
        <v>10</v>
      </c>
      <c r="AD102" s="1" t="b">
        <f t="shared" si="1"/>
        <v>1</v>
      </c>
      <c r="AE102" s="77">
        <v>10</v>
      </c>
      <c r="AF102" s="77">
        <v>10</v>
      </c>
    </row>
    <row r="103" spans="1:32" x14ac:dyDescent="0.25">
      <c r="A103" s="23" t="s">
        <v>369</v>
      </c>
      <c r="B103" s="3" t="s">
        <v>468</v>
      </c>
      <c r="C103" s="2" t="s">
        <v>481</v>
      </c>
      <c r="D103" s="2" t="s">
        <v>523</v>
      </c>
      <c r="E103" s="24" t="s">
        <v>372</v>
      </c>
      <c r="F103" s="24" t="s">
        <v>183</v>
      </c>
      <c r="G103" s="58">
        <v>8</v>
      </c>
      <c r="H103" s="77">
        <v>8</v>
      </c>
      <c r="I103" s="77">
        <v>8</v>
      </c>
      <c r="J103" s="77">
        <v>8</v>
      </c>
      <c r="K103" s="77">
        <v>8</v>
      </c>
      <c r="L103" s="77"/>
      <c r="M103" s="77">
        <v>8</v>
      </c>
      <c r="N103" s="77">
        <v>8</v>
      </c>
      <c r="O103" s="77">
        <v>8</v>
      </c>
      <c r="P103" s="77">
        <v>8</v>
      </c>
      <c r="Q103" s="77">
        <v>8</v>
      </c>
      <c r="R103" s="77">
        <v>8</v>
      </c>
      <c r="S103" s="77">
        <v>8</v>
      </c>
      <c r="T103" s="77">
        <v>8</v>
      </c>
      <c r="U103" s="77">
        <v>8</v>
      </c>
      <c r="V103" s="77">
        <v>8</v>
      </c>
      <c r="W103" s="77">
        <v>8</v>
      </c>
      <c r="X103" s="77"/>
      <c r="Y103" s="77">
        <v>8</v>
      </c>
      <c r="Z103" s="77">
        <v>8</v>
      </c>
      <c r="AA103" s="77">
        <v>8</v>
      </c>
      <c r="AB103" s="77">
        <v>8</v>
      </c>
      <c r="AD103" s="1" t="b">
        <f t="shared" si="1"/>
        <v>1</v>
      </c>
      <c r="AE103" s="77">
        <v>8</v>
      </c>
      <c r="AF103" s="77">
        <v>8</v>
      </c>
    </row>
    <row r="104" spans="1:32" x14ac:dyDescent="0.25">
      <c r="A104" s="23" t="s">
        <v>491</v>
      </c>
      <c r="B104" s="3" t="s">
        <v>468</v>
      </c>
      <c r="C104" s="2" t="s">
        <v>481</v>
      </c>
      <c r="D104" s="2" t="s">
        <v>523</v>
      </c>
      <c r="E104" s="24" t="s">
        <v>384</v>
      </c>
      <c r="F104" s="24" t="s">
        <v>103</v>
      </c>
      <c r="G104" s="58">
        <v>1</v>
      </c>
      <c r="H104" s="77">
        <v>1</v>
      </c>
      <c r="I104" s="77">
        <v>1</v>
      </c>
      <c r="J104" s="77">
        <v>1</v>
      </c>
      <c r="K104" s="77">
        <v>1</v>
      </c>
      <c r="L104" s="77"/>
      <c r="M104" s="77">
        <v>1</v>
      </c>
      <c r="N104" s="77">
        <v>1</v>
      </c>
      <c r="O104" s="77">
        <v>1</v>
      </c>
      <c r="P104" s="77">
        <v>1</v>
      </c>
      <c r="Q104" s="77">
        <v>1</v>
      </c>
      <c r="R104" s="77">
        <v>1</v>
      </c>
      <c r="S104" s="77">
        <v>1</v>
      </c>
      <c r="T104" s="77">
        <v>1</v>
      </c>
      <c r="U104" s="77">
        <v>1</v>
      </c>
      <c r="V104" s="77">
        <v>1</v>
      </c>
      <c r="W104" s="77">
        <v>1</v>
      </c>
      <c r="X104" s="77"/>
      <c r="Y104" s="77">
        <v>1</v>
      </c>
      <c r="Z104" s="77">
        <v>1</v>
      </c>
      <c r="AA104" s="77">
        <v>1</v>
      </c>
      <c r="AB104" s="77">
        <v>1</v>
      </c>
      <c r="AD104" s="1" t="b">
        <f t="shared" si="1"/>
        <v>1</v>
      </c>
      <c r="AE104" s="77">
        <v>1</v>
      </c>
      <c r="AF104" s="77">
        <v>1</v>
      </c>
    </row>
    <row r="105" spans="1:32" x14ac:dyDescent="0.25">
      <c r="A105" s="23" t="s">
        <v>385</v>
      </c>
      <c r="B105" s="3" t="s">
        <v>468</v>
      </c>
      <c r="C105" s="2" t="s">
        <v>481</v>
      </c>
      <c r="D105" s="2" t="s">
        <v>523</v>
      </c>
      <c r="E105" s="24" t="s">
        <v>386</v>
      </c>
      <c r="F105" s="24" t="s">
        <v>399</v>
      </c>
      <c r="G105" s="58">
        <v>0.5</v>
      </c>
      <c r="H105" s="77">
        <v>0.5</v>
      </c>
      <c r="I105" s="77">
        <v>0.5</v>
      </c>
      <c r="J105" s="77">
        <v>0.5</v>
      </c>
      <c r="K105" s="77">
        <v>0.5</v>
      </c>
      <c r="L105" s="77"/>
      <c r="M105" s="77">
        <v>0.5</v>
      </c>
      <c r="N105" s="77">
        <v>0.5</v>
      </c>
      <c r="O105" s="77">
        <v>0.5</v>
      </c>
      <c r="P105" s="77">
        <v>0.5</v>
      </c>
      <c r="Q105" s="77">
        <v>0.5</v>
      </c>
      <c r="R105" s="77">
        <v>0.5</v>
      </c>
      <c r="S105" s="77">
        <v>0.5</v>
      </c>
      <c r="T105" s="77">
        <v>0.5</v>
      </c>
      <c r="U105" s="77">
        <v>0.5</v>
      </c>
      <c r="V105" s="77">
        <v>0.5</v>
      </c>
      <c r="W105" s="77">
        <v>0.5</v>
      </c>
      <c r="X105" s="77"/>
      <c r="Y105" s="77">
        <v>0.5</v>
      </c>
      <c r="Z105" s="77">
        <v>0.5</v>
      </c>
      <c r="AA105" s="77">
        <v>0.5</v>
      </c>
      <c r="AB105" s="77">
        <v>0.5</v>
      </c>
      <c r="AD105" s="1" t="b">
        <f t="shared" si="1"/>
        <v>1</v>
      </c>
      <c r="AE105" s="77">
        <v>0.5</v>
      </c>
      <c r="AF105" s="77">
        <v>0.5</v>
      </c>
    </row>
    <row r="106" spans="1:32" x14ac:dyDescent="0.25">
      <c r="A106" s="23" t="s">
        <v>492</v>
      </c>
      <c r="B106" s="3" t="s">
        <v>468</v>
      </c>
      <c r="C106" s="2" t="s">
        <v>481</v>
      </c>
      <c r="D106" s="2" t="s">
        <v>523</v>
      </c>
      <c r="E106" s="24" t="s">
        <v>496</v>
      </c>
      <c r="F106" s="24" t="s">
        <v>497</v>
      </c>
      <c r="G106" s="58">
        <f t="shared" ref="G106:Q106" si="3">G104</f>
        <v>1</v>
      </c>
      <c r="H106" s="58">
        <f t="shared" si="3"/>
        <v>1</v>
      </c>
      <c r="I106" s="58">
        <f t="shared" si="3"/>
        <v>1</v>
      </c>
      <c r="J106" s="58">
        <f t="shared" si="3"/>
        <v>1</v>
      </c>
      <c r="K106" s="58">
        <f t="shared" ref="K106" si="4">K104</f>
        <v>1</v>
      </c>
      <c r="L106" s="58"/>
      <c r="M106" s="58">
        <f t="shared" si="3"/>
        <v>1</v>
      </c>
      <c r="N106" s="58">
        <f t="shared" ref="N106" si="5">N104</f>
        <v>1</v>
      </c>
      <c r="O106" s="58">
        <f t="shared" ref="O106" si="6">O104</f>
        <v>1</v>
      </c>
      <c r="P106" s="58">
        <f t="shared" ref="P106" si="7">P104</f>
        <v>1</v>
      </c>
      <c r="Q106" s="58">
        <f t="shared" si="3"/>
        <v>1</v>
      </c>
      <c r="R106" s="58">
        <f t="shared" ref="R106" si="8">R104</f>
        <v>1</v>
      </c>
      <c r="S106" s="58">
        <f t="shared" ref="S106:W106" si="9">S104</f>
        <v>1</v>
      </c>
      <c r="T106" s="58">
        <f t="shared" ref="T106:U106" si="10">T104</f>
        <v>1</v>
      </c>
      <c r="U106" s="58">
        <f t="shared" si="10"/>
        <v>1</v>
      </c>
      <c r="V106" s="58">
        <f t="shared" ref="V106" si="11">V104</f>
        <v>1</v>
      </c>
      <c r="W106" s="58">
        <f t="shared" si="9"/>
        <v>1</v>
      </c>
      <c r="X106" s="58"/>
      <c r="Y106" s="58">
        <f t="shared" ref="Y106" si="12">Y104</f>
        <v>1</v>
      </c>
      <c r="Z106" s="58">
        <f t="shared" ref="Z106" si="13">Z104</f>
        <v>1</v>
      </c>
      <c r="AA106" s="58">
        <f t="shared" ref="AA106" si="14">AA104</f>
        <v>1</v>
      </c>
      <c r="AB106" s="58">
        <f t="shared" ref="AB106" si="15">AB104</f>
        <v>1</v>
      </c>
      <c r="AD106" s="1" t="b">
        <f t="shared" si="1"/>
        <v>1</v>
      </c>
      <c r="AE106" s="58">
        <v>1</v>
      </c>
      <c r="AF106" s="58">
        <v>1</v>
      </c>
    </row>
    <row r="107" spans="1:32" x14ac:dyDescent="0.25">
      <c r="A107" s="23" t="s">
        <v>493</v>
      </c>
      <c r="B107" s="3" t="s">
        <v>468</v>
      </c>
      <c r="C107" s="2" t="s">
        <v>481</v>
      </c>
      <c r="D107" s="2" t="s">
        <v>523</v>
      </c>
      <c r="E107" s="24" t="s">
        <v>496</v>
      </c>
      <c r="F107" s="24" t="s">
        <v>497</v>
      </c>
      <c r="G107" s="58">
        <f>3*G104</f>
        <v>3</v>
      </c>
      <c r="H107" s="58">
        <f t="shared" ref="H107:AB107" si="16">150*H104</f>
        <v>150</v>
      </c>
      <c r="I107" s="58">
        <f t="shared" si="16"/>
        <v>150</v>
      </c>
      <c r="J107" s="58">
        <f t="shared" si="16"/>
        <v>150</v>
      </c>
      <c r="K107" s="58">
        <f t="shared" si="16"/>
        <v>150</v>
      </c>
      <c r="L107" s="58"/>
      <c r="M107" s="58">
        <f t="shared" si="16"/>
        <v>150</v>
      </c>
      <c r="N107" s="58">
        <f t="shared" ref="N107" si="17">150*N104</f>
        <v>150</v>
      </c>
      <c r="O107" s="58">
        <f t="shared" ref="O107" si="18">150*O104</f>
        <v>150</v>
      </c>
      <c r="P107" s="58">
        <f t="shared" ref="P107" si="19">150*P104</f>
        <v>150</v>
      </c>
      <c r="Q107" s="58">
        <f t="shared" si="16"/>
        <v>150</v>
      </c>
      <c r="R107" s="58">
        <f t="shared" ref="R107" si="20">150*R104</f>
        <v>150</v>
      </c>
      <c r="S107" s="58">
        <f t="shared" ref="S107:W107" si="21">150*S104</f>
        <v>150</v>
      </c>
      <c r="T107" s="58">
        <f t="shared" ref="T107:U107" si="22">150*T104</f>
        <v>150</v>
      </c>
      <c r="U107" s="58">
        <f t="shared" si="22"/>
        <v>150</v>
      </c>
      <c r="V107" s="58">
        <f t="shared" ref="V107" si="23">150*V104</f>
        <v>150</v>
      </c>
      <c r="W107" s="58">
        <f t="shared" si="21"/>
        <v>150</v>
      </c>
      <c r="X107" s="58"/>
      <c r="Y107" s="58">
        <f t="shared" ref="Y107" si="24">150*Y104</f>
        <v>150</v>
      </c>
      <c r="Z107" s="58">
        <f t="shared" ref="Z107" si="25">150*Z104</f>
        <v>150</v>
      </c>
      <c r="AA107" s="58">
        <f t="shared" ref="AA107" si="26">150*AA104</f>
        <v>150</v>
      </c>
      <c r="AB107" s="58">
        <f t="shared" si="16"/>
        <v>150</v>
      </c>
      <c r="AD107" s="1" t="b">
        <f t="shared" si="1"/>
        <v>1</v>
      </c>
      <c r="AE107" s="58">
        <v>150</v>
      </c>
      <c r="AF107" s="58">
        <v>150</v>
      </c>
    </row>
    <row r="108" spans="1:32" x14ac:dyDescent="0.25">
      <c r="A108" s="23" t="s">
        <v>494</v>
      </c>
      <c r="B108" s="3" t="s">
        <v>468</v>
      </c>
      <c r="C108" s="2" t="s">
        <v>481</v>
      </c>
      <c r="D108" s="2" t="s">
        <v>523</v>
      </c>
      <c r="E108" s="24" t="s">
        <v>496</v>
      </c>
      <c r="F108" s="24" t="s">
        <v>497</v>
      </c>
      <c r="G108" s="58">
        <f t="shared" ref="G108:Q108" si="27">G99</f>
        <v>21</v>
      </c>
      <c r="H108" s="58">
        <f t="shared" si="27"/>
        <v>21</v>
      </c>
      <c r="I108" s="58">
        <f t="shared" si="27"/>
        <v>21</v>
      </c>
      <c r="J108" s="58">
        <f t="shared" si="27"/>
        <v>21</v>
      </c>
      <c r="K108" s="58">
        <f t="shared" ref="K108" si="28">K99</f>
        <v>21</v>
      </c>
      <c r="L108" s="58"/>
      <c r="M108" s="58">
        <f t="shared" si="27"/>
        <v>21</v>
      </c>
      <c r="N108" s="58">
        <f t="shared" ref="N108" si="29">N99</f>
        <v>21</v>
      </c>
      <c r="O108" s="58">
        <f t="shared" ref="O108" si="30">O99</f>
        <v>21</v>
      </c>
      <c r="P108" s="58">
        <f t="shared" ref="P108" si="31">P99</f>
        <v>21</v>
      </c>
      <c r="Q108" s="58">
        <f t="shared" si="27"/>
        <v>21</v>
      </c>
      <c r="R108" s="58">
        <f t="shared" ref="R108" si="32">R99</f>
        <v>21</v>
      </c>
      <c r="S108" s="58">
        <f t="shared" ref="S108:W108" si="33">S99</f>
        <v>21</v>
      </c>
      <c r="T108" s="58">
        <f t="shared" ref="T108:U108" si="34">T99</f>
        <v>21</v>
      </c>
      <c r="U108" s="58">
        <f t="shared" si="34"/>
        <v>21</v>
      </c>
      <c r="V108" s="58">
        <f t="shared" ref="V108" si="35">V99</f>
        <v>21</v>
      </c>
      <c r="W108" s="58">
        <f t="shared" si="33"/>
        <v>21</v>
      </c>
      <c r="X108" s="58"/>
      <c r="Y108" s="58">
        <f t="shared" ref="Y108" si="36">Y99</f>
        <v>21</v>
      </c>
      <c r="Z108" s="58">
        <f t="shared" ref="Z108" si="37">Z99</f>
        <v>21</v>
      </c>
      <c r="AA108" s="58">
        <f t="shared" ref="AA108" si="38">AA99</f>
        <v>21</v>
      </c>
      <c r="AB108" s="58">
        <f t="shared" ref="AB108" si="39">AB99</f>
        <v>21</v>
      </c>
      <c r="AD108" s="1" t="b">
        <f t="shared" si="1"/>
        <v>1</v>
      </c>
      <c r="AE108" s="58">
        <v>21</v>
      </c>
      <c r="AF108" s="58">
        <v>21</v>
      </c>
    </row>
    <row r="109" spans="1:32" x14ac:dyDescent="0.25">
      <c r="A109" s="23" t="s">
        <v>495</v>
      </c>
      <c r="B109" s="3" t="s">
        <v>468</v>
      </c>
      <c r="C109" s="2" t="s">
        <v>481</v>
      </c>
      <c r="D109" s="2" t="s">
        <v>523</v>
      </c>
      <c r="E109" s="24" t="s">
        <v>496</v>
      </c>
      <c r="F109" s="24" t="s">
        <v>497</v>
      </c>
      <c r="G109" s="58">
        <f>10*G99</f>
        <v>210</v>
      </c>
      <c r="H109" s="58">
        <f t="shared" ref="H109:AB109" si="40">70*H99</f>
        <v>1470</v>
      </c>
      <c r="I109" s="58">
        <f t="shared" si="40"/>
        <v>1470</v>
      </c>
      <c r="J109" s="58">
        <f t="shared" si="40"/>
        <v>1470</v>
      </c>
      <c r="K109" s="58">
        <f t="shared" si="40"/>
        <v>1470</v>
      </c>
      <c r="L109" s="58"/>
      <c r="M109" s="58">
        <f t="shared" si="40"/>
        <v>1470</v>
      </c>
      <c r="N109" s="58">
        <f t="shared" ref="N109" si="41">70*N99</f>
        <v>1470</v>
      </c>
      <c r="O109" s="58">
        <f t="shared" ref="O109" si="42">70*O99</f>
        <v>1470</v>
      </c>
      <c r="P109" s="58">
        <f t="shared" ref="P109" si="43">70*P99</f>
        <v>1470</v>
      </c>
      <c r="Q109" s="58">
        <f t="shared" si="40"/>
        <v>1470</v>
      </c>
      <c r="R109" s="58">
        <f t="shared" ref="R109" si="44">70*R99</f>
        <v>1470</v>
      </c>
      <c r="S109" s="58">
        <f t="shared" ref="S109:W109" si="45">70*S99</f>
        <v>1470</v>
      </c>
      <c r="T109" s="58">
        <f t="shared" ref="T109:U109" si="46">70*T99</f>
        <v>1470</v>
      </c>
      <c r="U109" s="58">
        <f t="shared" si="46"/>
        <v>1470</v>
      </c>
      <c r="V109" s="58">
        <f t="shared" ref="V109" si="47">70*V99</f>
        <v>1470</v>
      </c>
      <c r="W109" s="58">
        <f t="shared" si="45"/>
        <v>1470</v>
      </c>
      <c r="X109" s="58"/>
      <c r="Y109" s="58">
        <f t="shared" ref="Y109" si="48">70*Y99</f>
        <v>1470</v>
      </c>
      <c r="Z109" s="58">
        <f t="shared" ref="Z109" si="49">70*Z99</f>
        <v>1470</v>
      </c>
      <c r="AA109" s="58">
        <f t="shared" ref="AA109" si="50">70*AA99</f>
        <v>1470</v>
      </c>
      <c r="AB109" s="58">
        <f t="shared" si="40"/>
        <v>1470</v>
      </c>
      <c r="AD109" s="1" t="b">
        <f t="shared" si="1"/>
        <v>1</v>
      </c>
      <c r="AE109" s="58">
        <v>1470</v>
      </c>
      <c r="AF109" s="58">
        <v>1470</v>
      </c>
    </row>
    <row r="110" spans="1:32" x14ac:dyDescent="0.25">
      <c r="A110" s="23" t="s">
        <v>387</v>
      </c>
      <c r="B110" s="3" t="s">
        <v>468</v>
      </c>
      <c r="C110" s="2" t="s">
        <v>481</v>
      </c>
      <c r="D110" s="2" t="s">
        <v>523</v>
      </c>
      <c r="E110" s="24" t="s">
        <v>388</v>
      </c>
      <c r="F110" s="24" t="s">
        <v>107</v>
      </c>
      <c r="G110" s="58">
        <v>0</v>
      </c>
      <c r="H110" s="77">
        <v>0</v>
      </c>
      <c r="I110" s="77">
        <v>0</v>
      </c>
      <c r="J110" s="77">
        <v>0</v>
      </c>
      <c r="K110" s="77">
        <v>0</v>
      </c>
      <c r="L110" s="77"/>
      <c r="M110" s="77">
        <v>0</v>
      </c>
      <c r="N110" s="77">
        <v>0</v>
      </c>
      <c r="O110" s="77">
        <v>0</v>
      </c>
      <c r="P110" s="77">
        <v>0</v>
      </c>
      <c r="Q110" s="77">
        <v>0</v>
      </c>
      <c r="R110" s="77">
        <v>0</v>
      </c>
      <c r="S110" s="77">
        <v>0</v>
      </c>
      <c r="T110" s="77">
        <v>0</v>
      </c>
      <c r="U110" s="77">
        <v>0</v>
      </c>
      <c r="V110" s="77">
        <v>0</v>
      </c>
      <c r="W110" s="77">
        <v>0</v>
      </c>
      <c r="X110" s="77"/>
      <c r="Y110" s="77">
        <v>0</v>
      </c>
      <c r="Z110" s="77">
        <v>0</v>
      </c>
      <c r="AA110" s="77">
        <v>0</v>
      </c>
      <c r="AB110" s="77">
        <v>0</v>
      </c>
      <c r="AD110" s="1" t="b">
        <f t="shared" si="1"/>
        <v>1</v>
      </c>
      <c r="AE110" s="77">
        <v>0</v>
      </c>
      <c r="AF110" s="77">
        <v>0</v>
      </c>
    </row>
    <row r="111" spans="1:32" x14ac:dyDescent="0.25">
      <c r="A111" s="23" t="s">
        <v>389</v>
      </c>
      <c r="B111" s="3" t="s">
        <v>468</v>
      </c>
      <c r="C111" s="2" t="s">
        <v>481</v>
      </c>
      <c r="D111" s="2" t="s">
        <v>523</v>
      </c>
      <c r="E111" s="24" t="s">
        <v>390</v>
      </c>
      <c r="F111" s="24" t="s">
        <v>107</v>
      </c>
      <c r="G111" s="58">
        <v>1589759.9999999998</v>
      </c>
      <c r="H111" s="82">
        <v>1589759.9999999998</v>
      </c>
      <c r="I111" s="82">
        <v>1589759.9999999998</v>
      </c>
      <c r="J111" s="82">
        <v>1589759.9999999998</v>
      </c>
      <c r="K111" s="82">
        <v>1589759.9999999998</v>
      </c>
      <c r="L111" s="82"/>
      <c r="M111" s="82">
        <v>1589759.9999999998</v>
      </c>
      <c r="N111" s="82">
        <v>1589759.9999999998</v>
      </c>
      <c r="O111" s="82">
        <v>1589759.9999999998</v>
      </c>
      <c r="P111" s="82">
        <v>1589759.9999999998</v>
      </c>
      <c r="Q111" s="82">
        <v>1589759.9999999998</v>
      </c>
      <c r="R111" s="82">
        <v>1589759.9999999998</v>
      </c>
      <c r="S111" s="82">
        <v>1589759.9999999998</v>
      </c>
      <c r="T111" s="82">
        <v>1589759.9999999998</v>
      </c>
      <c r="U111" s="82">
        <v>1589759.9999999998</v>
      </c>
      <c r="V111" s="82">
        <v>1589759.9999999998</v>
      </c>
      <c r="W111" s="82">
        <v>1589759.9999999998</v>
      </c>
      <c r="X111" s="82"/>
      <c r="Y111" s="82">
        <v>1589759.9999999998</v>
      </c>
      <c r="Z111" s="82">
        <v>1589759.9999999998</v>
      </c>
      <c r="AA111" s="82">
        <v>1589759.9999999998</v>
      </c>
      <c r="AB111" s="82">
        <v>1589759.9999999998</v>
      </c>
      <c r="AD111" s="1" t="b">
        <f t="shared" si="1"/>
        <v>1</v>
      </c>
      <c r="AE111" s="82">
        <v>1589759.9999999998</v>
      </c>
      <c r="AF111" s="82">
        <v>1589759.9999999998</v>
      </c>
    </row>
    <row r="112" spans="1:32" x14ac:dyDescent="0.25">
      <c r="A112" s="23" t="s">
        <v>391</v>
      </c>
      <c r="B112" s="3" t="s">
        <v>468</v>
      </c>
      <c r="C112" s="2" t="s">
        <v>481</v>
      </c>
      <c r="D112" s="2" t="s">
        <v>523</v>
      </c>
      <c r="E112" s="24" t="s">
        <v>392</v>
      </c>
      <c r="F112" s="24" t="s">
        <v>107</v>
      </c>
      <c r="G112" s="58">
        <v>6171428.5714285718</v>
      </c>
      <c r="H112" s="82">
        <v>6171428.5714285718</v>
      </c>
      <c r="I112" s="82">
        <v>6171428.5714285718</v>
      </c>
      <c r="J112" s="82">
        <v>6171428.5714285718</v>
      </c>
      <c r="K112" s="82">
        <v>6171428.5714285718</v>
      </c>
      <c r="L112" s="82"/>
      <c r="M112" s="82">
        <v>6171428.5714285718</v>
      </c>
      <c r="N112" s="82">
        <v>6171428.5714285718</v>
      </c>
      <c r="O112" s="82">
        <v>6171428.5714285718</v>
      </c>
      <c r="P112" s="82">
        <v>6171428.5714285718</v>
      </c>
      <c r="Q112" s="82">
        <v>6171428.5714285718</v>
      </c>
      <c r="R112" s="82">
        <v>6171428.5714285718</v>
      </c>
      <c r="S112" s="82">
        <v>6171428.5714285718</v>
      </c>
      <c r="T112" s="82">
        <v>6171428.5714285718</v>
      </c>
      <c r="U112" s="82">
        <v>6171428.5714285718</v>
      </c>
      <c r="V112" s="82">
        <v>6171428.5714285718</v>
      </c>
      <c r="W112" s="82">
        <v>6171428.5714285718</v>
      </c>
      <c r="X112" s="82"/>
      <c r="Y112" s="82">
        <v>6171428.5714285718</v>
      </c>
      <c r="Z112" s="82">
        <v>6171428.5714285718</v>
      </c>
      <c r="AA112" s="82">
        <v>6171428.5714285718</v>
      </c>
      <c r="AB112" s="82">
        <v>6171428.5714285718</v>
      </c>
      <c r="AD112" s="1" t="b">
        <f t="shared" si="1"/>
        <v>1</v>
      </c>
      <c r="AE112" s="82">
        <v>6171428.5714285718</v>
      </c>
      <c r="AF112" s="82">
        <v>6171428.5714285718</v>
      </c>
    </row>
    <row r="113" spans="1:32" x14ac:dyDescent="0.25">
      <c r="A113" s="23" t="s">
        <v>393</v>
      </c>
      <c r="B113" s="3" t="s">
        <v>468</v>
      </c>
      <c r="C113" s="2" t="s">
        <v>481</v>
      </c>
      <c r="D113" s="2" t="s">
        <v>523</v>
      </c>
      <c r="E113" s="24" t="s">
        <v>394</v>
      </c>
      <c r="F113" s="24" t="s">
        <v>107</v>
      </c>
      <c r="G113" s="58">
        <v>6171428.5714285718</v>
      </c>
      <c r="H113" s="82">
        <v>6171428.5714285718</v>
      </c>
      <c r="I113" s="82">
        <v>6171428.5714285718</v>
      </c>
      <c r="J113" s="82">
        <v>6171428.5714285718</v>
      </c>
      <c r="K113" s="82">
        <v>6171428.5714285718</v>
      </c>
      <c r="L113" s="82"/>
      <c r="M113" s="82">
        <v>6171428.5714285718</v>
      </c>
      <c r="N113" s="82">
        <v>6171428.5714285718</v>
      </c>
      <c r="O113" s="82">
        <v>6171428.5714285718</v>
      </c>
      <c r="P113" s="82">
        <v>6171428.5714285718</v>
      </c>
      <c r="Q113" s="82">
        <v>6171428.5714285718</v>
      </c>
      <c r="R113" s="82">
        <v>6171428.5714285718</v>
      </c>
      <c r="S113" s="82">
        <v>6171428.5714285718</v>
      </c>
      <c r="T113" s="82">
        <v>6171428.5714285718</v>
      </c>
      <c r="U113" s="82">
        <v>6171428.5714285718</v>
      </c>
      <c r="V113" s="82">
        <v>6171428.5714285718</v>
      </c>
      <c r="W113" s="82">
        <v>6171428.5714285718</v>
      </c>
      <c r="X113" s="82"/>
      <c r="Y113" s="82">
        <v>6171428.5714285718</v>
      </c>
      <c r="Z113" s="82">
        <v>6171428.5714285718</v>
      </c>
      <c r="AA113" s="82">
        <v>6171428.5714285718</v>
      </c>
      <c r="AB113" s="82">
        <v>6171428.5714285718</v>
      </c>
      <c r="AD113" s="1" t="b">
        <f t="shared" si="1"/>
        <v>1</v>
      </c>
      <c r="AE113" s="82">
        <v>6171428.5714285718</v>
      </c>
      <c r="AF113" s="82">
        <v>6171428.5714285718</v>
      </c>
    </row>
    <row r="114" spans="1:32" x14ac:dyDescent="0.25">
      <c r="A114" s="23" t="s">
        <v>578</v>
      </c>
      <c r="B114" s="3" t="s">
        <v>468</v>
      </c>
      <c r="C114" s="2" t="s">
        <v>481</v>
      </c>
      <c r="D114" s="2" t="s">
        <v>523</v>
      </c>
      <c r="E114" s="24" t="s">
        <v>421</v>
      </c>
      <c r="F114" s="24" t="s">
        <v>427</v>
      </c>
      <c r="G114" s="67">
        <v>100</v>
      </c>
      <c r="H114" s="82">
        <v>100</v>
      </c>
      <c r="I114" s="82">
        <v>100</v>
      </c>
      <c r="J114" s="82">
        <v>100</v>
      </c>
      <c r="K114" s="82">
        <v>100</v>
      </c>
      <c r="L114" s="82"/>
      <c r="M114" s="82">
        <v>100</v>
      </c>
      <c r="N114" s="82">
        <v>100</v>
      </c>
      <c r="O114" s="82">
        <v>100</v>
      </c>
      <c r="P114" s="82">
        <v>100</v>
      </c>
      <c r="Q114" s="82">
        <v>100</v>
      </c>
      <c r="R114" s="82">
        <v>100</v>
      </c>
      <c r="S114" s="82">
        <v>100</v>
      </c>
      <c r="T114" s="82">
        <v>100</v>
      </c>
      <c r="U114" s="82">
        <v>100</v>
      </c>
      <c r="V114" s="82">
        <v>100</v>
      </c>
      <c r="W114" s="82">
        <v>100</v>
      </c>
      <c r="X114" s="82"/>
      <c r="Y114" s="82">
        <v>100</v>
      </c>
      <c r="Z114" s="82">
        <v>100</v>
      </c>
      <c r="AA114" s="82">
        <v>100</v>
      </c>
      <c r="AB114" s="82">
        <v>100</v>
      </c>
      <c r="AD114" s="1" t="b">
        <f t="shared" si="1"/>
        <v>1</v>
      </c>
      <c r="AE114" s="82">
        <v>100</v>
      </c>
      <c r="AF114" s="82">
        <v>100</v>
      </c>
    </row>
    <row r="115" spans="1:32" ht="14.45" customHeight="1" x14ac:dyDescent="0.25">
      <c r="A115" s="23" t="s">
        <v>579</v>
      </c>
      <c r="B115" s="3" t="s">
        <v>468</v>
      </c>
      <c r="C115" s="2" t="s">
        <v>481</v>
      </c>
      <c r="D115" s="2" t="s">
        <v>523</v>
      </c>
      <c r="E115" s="24" t="s">
        <v>422</v>
      </c>
      <c r="F115" s="24" t="s">
        <v>428</v>
      </c>
      <c r="G115" s="67">
        <f>3.25 * (60*60*24)</f>
        <v>280800</v>
      </c>
      <c r="H115" s="67">
        <f t="shared" ref="H115:AB115" si="51">0.1 * 3.25 * (60*60*24)</f>
        <v>28080</v>
      </c>
      <c r="I115" s="67">
        <f t="shared" si="51"/>
        <v>28080</v>
      </c>
      <c r="J115" s="67">
        <f t="shared" si="51"/>
        <v>28080</v>
      </c>
      <c r="K115" s="67">
        <f t="shared" si="51"/>
        <v>28080</v>
      </c>
      <c r="L115" s="67"/>
      <c r="M115" s="67">
        <f>1 * (60*60*24)</f>
        <v>86400</v>
      </c>
      <c r="N115" s="67">
        <f>1 * (60*60*24)</f>
        <v>86400</v>
      </c>
      <c r="O115" s="67">
        <f>1 * (60*60*24)</f>
        <v>86400</v>
      </c>
      <c r="P115" s="67">
        <f>1 * (60*60*24)</f>
        <v>86400</v>
      </c>
      <c r="Q115" s="67">
        <f t="shared" ref="Q115:W115" si="52">1 * (60*60*24)</f>
        <v>86400</v>
      </c>
      <c r="R115" s="67">
        <f t="shared" si="52"/>
        <v>86400</v>
      </c>
      <c r="S115" s="67">
        <f t="shared" si="52"/>
        <v>86400</v>
      </c>
      <c r="T115" s="67">
        <f t="shared" si="52"/>
        <v>86400</v>
      </c>
      <c r="U115" s="67">
        <f t="shared" si="52"/>
        <v>86400</v>
      </c>
      <c r="V115" s="67">
        <f t="shared" si="52"/>
        <v>86400</v>
      </c>
      <c r="W115" s="67">
        <f t="shared" si="52"/>
        <v>86400</v>
      </c>
      <c r="X115" s="67"/>
      <c r="Y115" s="67">
        <f>1 * (60*60*24)</f>
        <v>86400</v>
      </c>
      <c r="Z115" s="67">
        <f t="shared" si="51"/>
        <v>28080</v>
      </c>
      <c r="AA115" s="67">
        <f t="shared" si="51"/>
        <v>28080</v>
      </c>
      <c r="AB115" s="67">
        <f t="shared" si="51"/>
        <v>28080</v>
      </c>
      <c r="AD115" s="1" t="b">
        <f t="shared" si="1"/>
        <v>0</v>
      </c>
      <c r="AE115" s="67">
        <v>28080</v>
      </c>
      <c r="AF115" s="67">
        <v>28080</v>
      </c>
    </row>
    <row r="116" spans="1:32" x14ac:dyDescent="0.25">
      <c r="A116" s="23" t="s">
        <v>580</v>
      </c>
      <c r="B116" s="3" t="s">
        <v>468</v>
      </c>
      <c r="C116" s="2" t="s">
        <v>481</v>
      </c>
      <c r="D116" s="2" t="s">
        <v>523</v>
      </c>
      <c r="E116" s="24" t="s">
        <v>423</v>
      </c>
      <c r="F116" s="24" t="s">
        <v>429</v>
      </c>
      <c r="G116" s="67">
        <f>1.11 / (60*60*24)</f>
        <v>1.2847222222222224E-5</v>
      </c>
      <c r="H116" s="67">
        <f t="shared" ref="H116:AB116" si="53">1.11 / 10</f>
        <v>0.11100000000000002</v>
      </c>
      <c r="I116" s="67">
        <f t="shared" si="53"/>
        <v>0.11100000000000002</v>
      </c>
      <c r="J116" s="67">
        <f t="shared" si="53"/>
        <v>0.11100000000000002</v>
      </c>
      <c r="K116" s="67">
        <f t="shared" si="53"/>
        <v>0.11100000000000002</v>
      </c>
      <c r="L116" s="67"/>
      <c r="M116" s="67">
        <f>1.05 / (60*60*24)</f>
        <v>1.2152777777777779E-5</v>
      </c>
      <c r="N116" s="67">
        <f>1.05 / (60*60*24)</f>
        <v>1.2152777777777779E-5</v>
      </c>
      <c r="O116" s="67">
        <f>1.05 / (60*60*24)</f>
        <v>1.2152777777777779E-5</v>
      </c>
      <c r="P116" s="67">
        <f>1.05 / (60*60*24)</f>
        <v>1.2152777777777779E-5</v>
      </c>
      <c r="Q116" s="67">
        <f t="shared" ref="Q116:W116" si="54">1.05 / (60*60*24)</f>
        <v>1.2152777777777779E-5</v>
      </c>
      <c r="R116" s="67">
        <f t="shared" si="54"/>
        <v>1.2152777777777779E-5</v>
      </c>
      <c r="S116" s="67">
        <f t="shared" si="54"/>
        <v>1.2152777777777779E-5</v>
      </c>
      <c r="T116" s="67">
        <f t="shared" si="54"/>
        <v>1.2152777777777779E-5</v>
      </c>
      <c r="U116" s="67">
        <f t="shared" si="54"/>
        <v>1.2152777777777779E-5</v>
      </c>
      <c r="V116" s="67">
        <f t="shared" si="54"/>
        <v>1.2152777777777779E-5</v>
      </c>
      <c r="W116" s="67">
        <f t="shared" si="54"/>
        <v>1.2152777777777779E-5</v>
      </c>
      <c r="X116" s="67"/>
      <c r="Y116" s="67">
        <f>1.05 / (60*60*24)</f>
        <v>1.2152777777777779E-5</v>
      </c>
      <c r="Z116" s="67">
        <f t="shared" si="53"/>
        <v>0.11100000000000002</v>
      </c>
      <c r="AA116" s="67">
        <f t="shared" si="53"/>
        <v>0.11100000000000002</v>
      </c>
      <c r="AB116" s="67">
        <f t="shared" si="53"/>
        <v>0.11100000000000002</v>
      </c>
      <c r="AD116" s="1" t="b">
        <f t="shared" si="1"/>
        <v>0</v>
      </c>
      <c r="AE116" s="67">
        <v>0.11100000000000002</v>
      </c>
      <c r="AF116" s="67">
        <v>0.11100000000000002</v>
      </c>
    </row>
    <row r="117" spans="1:32" x14ac:dyDescent="0.25">
      <c r="A117" s="23" t="s">
        <v>581</v>
      </c>
      <c r="B117" s="3" t="s">
        <v>468</v>
      </c>
      <c r="C117" s="2" t="s">
        <v>481</v>
      </c>
      <c r="D117" s="2" t="s">
        <v>523</v>
      </c>
      <c r="E117" s="24" t="s">
        <v>424</v>
      </c>
      <c r="F117" s="24" t="s">
        <v>427</v>
      </c>
      <c r="G117" s="67">
        <v>100</v>
      </c>
      <c r="H117" s="82">
        <v>100</v>
      </c>
      <c r="I117" s="82">
        <v>100</v>
      </c>
      <c r="J117" s="82">
        <v>100</v>
      </c>
      <c r="K117" s="82">
        <v>100</v>
      </c>
      <c r="L117" s="82"/>
      <c r="M117" s="82">
        <v>50</v>
      </c>
      <c r="N117" s="82">
        <v>50</v>
      </c>
      <c r="O117" s="82">
        <v>50</v>
      </c>
      <c r="P117" s="82">
        <v>50</v>
      </c>
      <c r="Q117" s="82">
        <v>50</v>
      </c>
      <c r="R117" s="82">
        <v>50</v>
      </c>
      <c r="S117" s="82">
        <v>50</v>
      </c>
      <c r="T117" s="82">
        <v>50</v>
      </c>
      <c r="U117" s="82">
        <v>50</v>
      </c>
      <c r="V117" s="82">
        <v>50</v>
      </c>
      <c r="W117" s="82">
        <v>50</v>
      </c>
      <c r="X117" s="82"/>
      <c r="Y117" s="82">
        <v>50</v>
      </c>
      <c r="Z117" s="82">
        <v>100</v>
      </c>
      <c r="AA117" s="82">
        <v>100</v>
      </c>
      <c r="AB117" s="82">
        <v>100</v>
      </c>
      <c r="AD117" s="1" t="b">
        <f t="shared" si="1"/>
        <v>0</v>
      </c>
      <c r="AE117" s="82">
        <v>100</v>
      </c>
      <c r="AF117" s="82">
        <v>100</v>
      </c>
    </row>
    <row r="118" spans="1:32" ht="14.45" customHeight="1" x14ac:dyDescent="0.25">
      <c r="A118" s="23" t="s">
        <v>582</v>
      </c>
      <c r="B118" s="3" t="s">
        <v>468</v>
      </c>
      <c r="C118" s="2" t="s">
        <v>481</v>
      </c>
      <c r="D118" s="2" t="s">
        <v>523</v>
      </c>
      <c r="E118" s="24" t="s">
        <v>425</v>
      </c>
      <c r="F118" s="24" t="s">
        <v>428</v>
      </c>
      <c r="G118" s="67">
        <f t="shared" ref="G118:AB118" si="55">5.32 * (60*60*24)</f>
        <v>459648</v>
      </c>
      <c r="H118" s="67">
        <f t="shared" si="55"/>
        <v>459648</v>
      </c>
      <c r="I118" s="67">
        <f t="shared" si="55"/>
        <v>459648</v>
      </c>
      <c r="J118" s="67">
        <f t="shared" si="55"/>
        <v>459648</v>
      </c>
      <c r="K118" s="67">
        <f t="shared" si="55"/>
        <v>459648</v>
      </c>
      <c r="L118" s="67"/>
      <c r="M118" s="67">
        <f>0.5 * (60*60*24)</f>
        <v>43200</v>
      </c>
      <c r="N118" s="67">
        <f>0.5 * (60*60*24)</f>
        <v>43200</v>
      </c>
      <c r="O118" s="67">
        <f>0.5 * (60*60*24)</f>
        <v>43200</v>
      </c>
      <c r="P118" s="67">
        <f>0.5 * (60*60*24)</f>
        <v>43200</v>
      </c>
      <c r="Q118" s="67">
        <f t="shared" ref="Q118:W118" si="56">0.5 * (60*60*24)</f>
        <v>43200</v>
      </c>
      <c r="R118" s="67">
        <f t="shared" si="56"/>
        <v>43200</v>
      </c>
      <c r="S118" s="67">
        <f t="shared" si="56"/>
        <v>43200</v>
      </c>
      <c r="T118" s="67">
        <f t="shared" si="56"/>
        <v>43200</v>
      </c>
      <c r="U118" s="67">
        <f t="shared" si="56"/>
        <v>43200</v>
      </c>
      <c r="V118" s="67">
        <f t="shared" si="56"/>
        <v>43200</v>
      </c>
      <c r="W118" s="67">
        <f t="shared" si="56"/>
        <v>43200</v>
      </c>
      <c r="X118" s="67"/>
      <c r="Y118" s="67">
        <f>0.5 * (60*60*24)</f>
        <v>43200</v>
      </c>
      <c r="Z118" s="67">
        <f t="shared" si="55"/>
        <v>459648</v>
      </c>
      <c r="AA118" s="67">
        <f t="shared" si="55"/>
        <v>459648</v>
      </c>
      <c r="AB118" s="67">
        <f t="shared" si="55"/>
        <v>459648</v>
      </c>
      <c r="AD118" s="1" t="b">
        <f t="shared" si="1"/>
        <v>0</v>
      </c>
      <c r="AE118" s="67">
        <v>459648</v>
      </c>
      <c r="AF118" s="67">
        <v>459648</v>
      </c>
    </row>
    <row r="119" spans="1:32" x14ac:dyDescent="0.25">
      <c r="A119" s="23" t="s">
        <v>583</v>
      </c>
      <c r="B119" s="3" t="s">
        <v>468</v>
      </c>
      <c r="C119" s="2" t="s">
        <v>481</v>
      </c>
      <c r="D119" s="2" t="s">
        <v>523</v>
      </c>
      <c r="E119" s="24" t="s">
        <v>426</v>
      </c>
      <c r="F119" s="24" t="s">
        <v>429</v>
      </c>
      <c r="G119" s="67">
        <f>1.11 / (60*60*24)</f>
        <v>1.2847222222222224E-5</v>
      </c>
      <c r="H119" s="67">
        <f t="shared" ref="H119:AB119" si="57">1.11/8</f>
        <v>0.13875000000000001</v>
      </c>
      <c r="I119" s="67">
        <f t="shared" si="57"/>
        <v>0.13875000000000001</v>
      </c>
      <c r="J119" s="67">
        <f t="shared" si="57"/>
        <v>0.13875000000000001</v>
      </c>
      <c r="K119" s="67">
        <f t="shared" si="57"/>
        <v>0.13875000000000001</v>
      </c>
      <c r="L119" s="67"/>
      <c r="M119" s="67">
        <f>0.7 / (60*60*24)</f>
        <v>8.101851851851852E-6</v>
      </c>
      <c r="N119" s="67">
        <f>0.7 / (60*60*24)</f>
        <v>8.101851851851852E-6</v>
      </c>
      <c r="O119" s="67">
        <f>0.7 / (60*60*24)</f>
        <v>8.101851851851852E-6</v>
      </c>
      <c r="P119" s="67">
        <f>0.7 / (60*60*24)</f>
        <v>8.101851851851852E-6</v>
      </c>
      <c r="Q119" s="67">
        <f t="shared" ref="Q119:W119" si="58">0.7 / (60*60*24)</f>
        <v>8.101851851851852E-6</v>
      </c>
      <c r="R119" s="67">
        <f t="shared" si="58"/>
        <v>8.101851851851852E-6</v>
      </c>
      <c r="S119" s="67">
        <f t="shared" si="58"/>
        <v>8.101851851851852E-6</v>
      </c>
      <c r="T119" s="67">
        <f t="shared" si="58"/>
        <v>8.101851851851852E-6</v>
      </c>
      <c r="U119" s="67">
        <f t="shared" si="58"/>
        <v>8.101851851851852E-6</v>
      </c>
      <c r="V119" s="67">
        <f t="shared" si="58"/>
        <v>8.101851851851852E-6</v>
      </c>
      <c r="W119" s="67">
        <f t="shared" si="58"/>
        <v>8.101851851851852E-6</v>
      </c>
      <c r="X119" s="67"/>
      <c r="Y119" s="67">
        <f>0.7 / (60*60*24)</f>
        <v>8.101851851851852E-6</v>
      </c>
      <c r="Z119" s="67">
        <f t="shared" si="57"/>
        <v>0.13875000000000001</v>
      </c>
      <c r="AA119" s="67">
        <f t="shared" si="57"/>
        <v>0.13875000000000001</v>
      </c>
      <c r="AB119" s="67">
        <f t="shared" si="57"/>
        <v>0.13875000000000001</v>
      </c>
      <c r="AD119" s="1" t="b">
        <f t="shared" si="1"/>
        <v>0</v>
      </c>
      <c r="AE119" s="67">
        <v>0.13875000000000001</v>
      </c>
      <c r="AF119" s="67">
        <v>0.13875000000000001</v>
      </c>
    </row>
    <row r="120" spans="1:32" x14ac:dyDescent="0.25">
      <c r="A120" s="23" t="s">
        <v>584</v>
      </c>
      <c r="B120" s="3" t="s">
        <v>468</v>
      </c>
      <c r="C120" s="2" t="s">
        <v>481</v>
      </c>
      <c r="D120" s="2" t="s">
        <v>523</v>
      </c>
      <c r="E120" s="24" t="s">
        <v>589</v>
      </c>
      <c r="F120" s="24" t="s">
        <v>427</v>
      </c>
      <c r="G120" s="67">
        <v>100</v>
      </c>
      <c r="H120" s="82">
        <v>100</v>
      </c>
      <c r="I120" s="82">
        <v>100</v>
      </c>
      <c r="J120" s="82">
        <v>100</v>
      </c>
      <c r="K120" s="82">
        <v>100</v>
      </c>
      <c r="L120" s="82"/>
      <c r="M120" s="82">
        <v>100</v>
      </c>
      <c r="N120" s="82">
        <v>100</v>
      </c>
      <c r="O120" s="82">
        <v>100</v>
      </c>
      <c r="P120" s="82">
        <v>100</v>
      </c>
      <c r="Q120" s="82">
        <v>50</v>
      </c>
      <c r="R120" s="82">
        <v>50</v>
      </c>
      <c r="S120" s="82">
        <v>50</v>
      </c>
      <c r="T120" s="82">
        <v>50</v>
      </c>
      <c r="U120" s="82">
        <v>50</v>
      </c>
      <c r="V120" s="82">
        <v>50</v>
      </c>
      <c r="W120" s="82">
        <v>50</v>
      </c>
      <c r="X120" s="82"/>
      <c r="Y120" s="82">
        <v>100</v>
      </c>
      <c r="Z120" s="82">
        <v>100</v>
      </c>
      <c r="AA120" s="82">
        <v>100</v>
      </c>
      <c r="AB120" s="82">
        <v>100</v>
      </c>
      <c r="AD120" s="1" t="b">
        <f t="shared" si="1"/>
        <v>1</v>
      </c>
      <c r="AE120" s="82">
        <v>100</v>
      </c>
      <c r="AF120" s="82">
        <v>100</v>
      </c>
    </row>
    <row r="121" spans="1:32" ht="14.45" customHeight="1" x14ac:dyDescent="0.25">
      <c r="A121" s="23" t="s">
        <v>585</v>
      </c>
      <c r="B121" s="3" t="s">
        <v>468</v>
      </c>
      <c r="C121" s="2" t="s">
        <v>481</v>
      </c>
      <c r="D121" s="2" t="s">
        <v>523</v>
      </c>
      <c r="E121" s="24" t="s">
        <v>588</v>
      </c>
      <c r="F121" s="24" t="s">
        <v>428</v>
      </c>
      <c r="G121" s="67">
        <f t="shared" ref="G121:AB121" si="59">5.32 * (60*60*24)</f>
        <v>459648</v>
      </c>
      <c r="H121" s="67">
        <f t="shared" si="59"/>
        <v>459648</v>
      </c>
      <c r="I121" s="67">
        <f t="shared" si="59"/>
        <v>459648</v>
      </c>
      <c r="J121" s="67">
        <f t="shared" si="59"/>
        <v>459648</v>
      </c>
      <c r="K121" s="67">
        <f t="shared" si="59"/>
        <v>459648</v>
      </c>
      <c r="L121" s="67"/>
      <c r="M121" s="67">
        <f>1 * (60*60*24)</f>
        <v>86400</v>
      </c>
      <c r="N121" s="67">
        <f>1 * (60*60*24)</f>
        <v>86400</v>
      </c>
      <c r="O121" s="67">
        <f>1 * (60*60*24)</f>
        <v>86400</v>
      </c>
      <c r="P121" s="67">
        <f>1 * (60*60*24)</f>
        <v>86400</v>
      </c>
      <c r="Q121" s="67">
        <f t="shared" ref="Q121:W121" si="60">1 * (60*60*24)</f>
        <v>86400</v>
      </c>
      <c r="R121" s="67">
        <f t="shared" si="60"/>
        <v>86400</v>
      </c>
      <c r="S121" s="67">
        <f t="shared" si="60"/>
        <v>86400</v>
      </c>
      <c r="T121" s="67">
        <f t="shared" si="60"/>
        <v>86400</v>
      </c>
      <c r="U121" s="67">
        <f t="shared" si="60"/>
        <v>86400</v>
      </c>
      <c r="V121" s="67">
        <f t="shared" si="60"/>
        <v>86400</v>
      </c>
      <c r="W121" s="67">
        <f t="shared" si="60"/>
        <v>86400</v>
      </c>
      <c r="X121" s="67"/>
      <c r="Y121" s="67">
        <f>1 * (60*60*24)</f>
        <v>86400</v>
      </c>
      <c r="Z121" s="67">
        <f t="shared" si="59"/>
        <v>459648</v>
      </c>
      <c r="AA121" s="67">
        <f t="shared" si="59"/>
        <v>459648</v>
      </c>
      <c r="AB121" s="67">
        <f t="shared" si="59"/>
        <v>459648</v>
      </c>
      <c r="AD121" s="1" t="b">
        <f t="shared" si="1"/>
        <v>0</v>
      </c>
      <c r="AE121" s="67">
        <v>459648</v>
      </c>
      <c r="AF121" s="67">
        <v>459648</v>
      </c>
    </row>
    <row r="122" spans="1:32" x14ac:dyDescent="0.25">
      <c r="A122" s="23" t="s">
        <v>586</v>
      </c>
      <c r="B122" s="3" t="s">
        <v>468</v>
      </c>
      <c r="C122" s="2" t="s">
        <v>481</v>
      </c>
      <c r="D122" s="2" t="s">
        <v>523</v>
      </c>
      <c r="E122" s="24" t="s">
        <v>587</v>
      </c>
      <c r="F122" s="24" t="s">
        <v>429</v>
      </c>
      <c r="G122" s="67">
        <f>1.11 / (60*60*24)</f>
        <v>1.2847222222222224E-5</v>
      </c>
      <c r="H122" s="67">
        <f t="shared" ref="H122:AB122" si="61">1.11/8</f>
        <v>0.13875000000000001</v>
      </c>
      <c r="I122" s="67">
        <f t="shared" si="61"/>
        <v>0.13875000000000001</v>
      </c>
      <c r="J122" s="67">
        <f t="shared" si="61"/>
        <v>0.13875000000000001</v>
      </c>
      <c r="K122" s="67">
        <f t="shared" si="61"/>
        <v>0.13875000000000001</v>
      </c>
      <c r="L122" s="67"/>
      <c r="M122" s="67">
        <f>1.11 / (60*60*24)</f>
        <v>1.2847222222222224E-5</v>
      </c>
      <c r="N122" s="67">
        <f>1.11 / (60*60*24)</f>
        <v>1.2847222222222224E-5</v>
      </c>
      <c r="O122" s="67">
        <f>1.11 / (60*60*24)</f>
        <v>1.2847222222222224E-5</v>
      </c>
      <c r="P122" s="67">
        <f>1.11 / (60*60*24)</f>
        <v>1.2847222222222224E-5</v>
      </c>
      <c r="Q122" s="67">
        <f t="shared" ref="Q122:W122" si="62">1.11 / (60*60*24)</f>
        <v>1.2847222222222224E-5</v>
      </c>
      <c r="R122" s="67">
        <f t="shared" si="62"/>
        <v>1.2847222222222224E-5</v>
      </c>
      <c r="S122" s="67">
        <f t="shared" si="62"/>
        <v>1.2847222222222224E-5</v>
      </c>
      <c r="T122" s="67">
        <f t="shared" si="62"/>
        <v>1.2847222222222224E-5</v>
      </c>
      <c r="U122" s="67">
        <f t="shared" si="62"/>
        <v>1.2847222222222224E-5</v>
      </c>
      <c r="V122" s="67">
        <f t="shared" si="62"/>
        <v>1.2847222222222224E-5</v>
      </c>
      <c r="W122" s="67">
        <f t="shared" si="62"/>
        <v>1.2847222222222224E-5</v>
      </c>
      <c r="X122" s="67"/>
      <c r="Y122" s="67">
        <f>1.11 / (60*60*24)</f>
        <v>1.2847222222222224E-5</v>
      </c>
      <c r="Z122" s="67">
        <f t="shared" si="61"/>
        <v>0.13875000000000001</v>
      </c>
      <c r="AA122" s="67">
        <f t="shared" si="61"/>
        <v>0.13875000000000001</v>
      </c>
      <c r="AB122" s="67">
        <f t="shared" si="61"/>
        <v>0.13875000000000001</v>
      </c>
      <c r="AD122" s="1" t="b">
        <f t="shared" si="1"/>
        <v>0</v>
      </c>
      <c r="AE122" s="67">
        <v>0.13875000000000001</v>
      </c>
      <c r="AF122" s="67">
        <v>0.13875000000000001</v>
      </c>
    </row>
    <row r="123" spans="1:32" x14ac:dyDescent="0.25">
      <c r="A123" s="23" t="s">
        <v>395</v>
      </c>
      <c r="B123" s="3" t="s">
        <v>468</v>
      </c>
      <c r="C123" s="2" t="s">
        <v>481</v>
      </c>
      <c r="D123" s="2" t="s">
        <v>523</v>
      </c>
      <c r="E123" s="24" t="s">
        <v>396</v>
      </c>
      <c r="F123" s="24" t="s">
        <v>107</v>
      </c>
      <c r="G123" s="67">
        <v>21600</v>
      </c>
      <c r="H123" s="82">
        <v>21600</v>
      </c>
      <c r="I123" s="82">
        <v>21600</v>
      </c>
      <c r="J123" s="82">
        <v>21600</v>
      </c>
      <c r="K123" s="82">
        <v>21600</v>
      </c>
      <c r="L123" s="82"/>
      <c r="M123" s="82">
        <v>21600</v>
      </c>
      <c r="N123" s="82">
        <v>21600</v>
      </c>
      <c r="O123" s="82">
        <v>21600</v>
      </c>
      <c r="P123" s="82">
        <v>21600</v>
      </c>
      <c r="Q123" s="82">
        <v>21600</v>
      </c>
      <c r="R123" s="82">
        <v>21600</v>
      </c>
      <c r="S123" s="82">
        <v>21600</v>
      </c>
      <c r="T123" s="82">
        <v>21600</v>
      </c>
      <c r="U123" s="82">
        <v>21600</v>
      </c>
      <c r="V123" s="82">
        <v>21600</v>
      </c>
      <c r="W123" s="82">
        <v>21600</v>
      </c>
      <c r="X123" s="82"/>
      <c r="Y123" s="82">
        <v>21600</v>
      </c>
      <c r="Z123" s="82">
        <v>21600</v>
      </c>
      <c r="AA123" s="82">
        <v>21600</v>
      </c>
      <c r="AB123" s="82">
        <v>21600</v>
      </c>
      <c r="AD123" s="1" t="b">
        <f t="shared" si="1"/>
        <v>1</v>
      </c>
      <c r="AE123" s="82">
        <v>21600</v>
      </c>
      <c r="AF123" s="82">
        <v>21600</v>
      </c>
    </row>
    <row r="124" spans="1:32" x14ac:dyDescent="0.25">
      <c r="A124" s="23" t="s">
        <v>397</v>
      </c>
      <c r="B124" s="3" t="s">
        <v>468</v>
      </c>
      <c r="C124" s="2" t="s">
        <v>481</v>
      </c>
      <c r="D124" s="2" t="s">
        <v>523</v>
      </c>
      <c r="E124" s="24" t="s">
        <v>398</v>
      </c>
      <c r="F124" s="24" t="s">
        <v>107</v>
      </c>
      <c r="G124" s="67">
        <v>172800</v>
      </c>
      <c r="H124" s="88">
        <v>43200</v>
      </c>
      <c r="I124" s="88">
        <v>43200</v>
      </c>
      <c r="J124" s="88">
        <v>43200</v>
      </c>
      <c r="K124" s="88">
        <v>43200</v>
      </c>
      <c r="L124" s="88"/>
      <c r="M124" s="88">
        <v>43200</v>
      </c>
      <c r="N124" s="88">
        <v>43200</v>
      </c>
      <c r="O124" s="88">
        <v>43200</v>
      </c>
      <c r="P124" s="88">
        <v>43200</v>
      </c>
      <c r="Q124" s="88">
        <v>43200</v>
      </c>
      <c r="R124" s="88">
        <v>43200</v>
      </c>
      <c r="S124" s="88">
        <v>43200</v>
      </c>
      <c r="T124" s="88">
        <v>43200</v>
      </c>
      <c r="U124" s="88">
        <v>43200</v>
      </c>
      <c r="V124" s="88">
        <v>43200</v>
      </c>
      <c r="W124" s="88">
        <v>43200</v>
      </c>
      <c r="X124" s="88"/>
      <c r="Y124" s="88">
        <v>43200</v>
      </c>
      <c r="Z124" s="88">
        <v>43200</v>
      </c>
      <c r="AA124" s="88">
        <v>43200</v>
      </c>
      <c r="AB124" s="88">
        <v>43200</v>
      </c>
      <c r="AD124" s="1" t="b">
        <f t="shared" si="1"/>
        <v>1</v>
      </c>
      <c r="AE124" s="88">
        <v>43200</v>
      </c>
      <c r="AF124" s="88">
        <v>43200</v>
      </c>
    </row>
    <row r="125" spans="1:32" x14ac:dyDescent="0.25">
      <c r="A125" s="13" t="s">
        <v>61</v>
      </c>
      <c r="B125" s="3" t="s">
        <v>468</v>
      </c>
      <c r="C125" s="2" t="s">
        <v>481</v>
      </c>
      <c r="D125" s="2" t="s">
        <v>523</v>
      </c>
      <c r="E125" s="14" t="s">
        <v>173</v>
      </c>
      <c r="F125" s="14" t="s">
        <v>112</v>
      </c>
      <c r="G125" s="50">
        <v>0.8</v>
      </c>
      <c r="H125" s="77">
        <v>0.8</v>
      </c>
      <c r="I125" s="77">
        <v>0.8</v>
      </c>
      <c r="J125" s="77">
        <v>0.8</v>
      </c>
      <c r="K125" s="77">
        <v>0.8</v>
      </c>
      <c r="L125" s="77"/>
      <c r="M125" s="77">
        <v>0.8</v>
      </c>
      <c r="N125" s="77">
        <v>0.8</v>
      </c>
      <c r="O125" s="77">
        <v>0.8</v>
      </c>
      <c r="P125" s="77">
        <v>0.8</v>
      </c>
      <c r="Q125" s="77">
        <v>0.8</v>
      </c>
      <c r="R125" s="77">
        <v>0.8</v>
      </c>
      <c r="S125" s="77">
        <v>0.8</v>
      </c>
      <c r="T125" s="77">
        <v>0.8</v>
      </c>
      <c r="U125" s="77">
        <v>0.8</v>
      </c>
      <c r="V125" s="77">
        <v>0.8</v>
      </c>
      <c r="W125" s="77">
        <v>0.8</v>
      </c>
      <c r="X125" s="77"/>
      <c r="Y125" s="77">
        <v>0.8</v>
      </c>
      <c r="Z125" s="77">
        <v>0.8</v>
      </c>
      <c r="AA125" s="77">
        <v>0.8</v>
      </c>
      <c r="AB125" s="77">
        <v>0.8</v>
      </c>
      <c r="AD125" s="1" t="b">
        <f t="shared" si="1"/>
        <v>1</v>
      </c>
      <c r="AE125" s="77">
        <v>0.8</v>
      </c>
      <c r="AF125" s="77">
        <v>0.8</v>
      </c>
    </row>
    <row r="126" spans="1:32" x14ac:dyDescent="0.25">
      <c r="A126" s="13" t="s">
        <v>62</v>
      </c>
      <c r="B126" s="3" t="s">
        <v>468</v>
      </c>
      <c r="C126" s="2" t="s">
        <v>481</v>
      </c>
      <c r="D126" s="2" t="s">
        <v>523</v>
      </c>
      <c r="E126" s="14" t="s">
        <v>174</v>
      </c>
      <c r="F126" s="14" t="s">
        <v>199</v>
      </c>
      <c r="G126" s="42">
        <v>2.0833333333333335E-4</v>
      </c>
      <c r="H126" s="78">
        <f>1250*0.000001/6</f>
        <v>2.0833333333333335E-4</v>
      </c>
      <c r="I126" s="78">
        <v>2.0833333333333335E-4</v>
      </c>
      <c r="J126" s="78">
        <v>2.0833333333333335E-4</v>
      </c>
      <c r="K126" s="78">
        <v>2.0833333333333335E-4</v>
      </c>
      <c r="L126" s="78"/>
      <c r="M126" s="78">
        <v>2.0833333333333335E-4</v>
      </c>
      <c r="N126" s="78">
        <v>2.0833333333333335E-4</v>
      </c>
      <c r="O126" s="78">
        <v>2.0833333333333335E-4</v>
      </c>
      <c r="P126" s="78">
        <v>2.0833333333333335E-4</v>
      </c>
      <c r="Q126" s="78">
        <v>2.0833333333333335E-4</v>
      </c>
      <c r="R126" s="78">
        <v>2.0833333333333335E-4</v>
      </c>
      <c r="S126" s="78">
        <v>2.0833333333333335E-4</v>
      </c>
      <c r="T126" s="78">
        <v>2.0833333333333335E-4</v>
      </c>
      <c r="U126" s="78">
        <v>2.0833333333333335E-4</v>
      </c>
      <c r="V126" s="78">
        <v>2.0833333333333335E-4</v>
      </c>
      <c r="W126" s="78">
        <v>2.0833333333333335E-4</v>
      </c>
      <c r="X126" s="78"/>
      <c r="Y126" s="78">
        <v>2.0833333333333335E-4</v>
      </c>
      <c r="Z126" s="78">
        <v>2.0833333333333335E-4</v>
      </c>
      <c r="AA126" s="78">
        <v>2.0833333333333335E-4</v>
      </c>
      <c r="AB126" s="78">
        <v>2.0833333333333335E-4</v>
      </c>
      <c r="AD126" s="1" t="b">
        <f t="shared" si="1"/>
        <v>1</v>
      </c>
      <c r="AE126" s="78">
        <v>2.0833333333333335E-4</v>
      </c>
      <c r="AF126" s="78">
        <v>2.0833333333333335E-4</v>
      </c>
    </row>
    <row r="127" spans="1:32" x14ac:dyDescent="0.25">
      <c r="A127" s="13" t="s">
        <v>63</v>
      </c>
      <c r="B127" s="3" t="s">
        <v>468</v>
      </c>
      <c r="C127" s="2" t="s">
        <v>481</v>
      </c>
      <c r="D127" s="2" t="s">
        <v>523</v>
      </c>
      <c r="E127" s="14" t="s">
        <v>175</v>
      </c>
      <c r="F127" s="14" t="s">
        <v>111</v>
      </c>
      <c r="G127" s="42">
        <v>5.7899999999999998E-7</v>
      </c>
      <c r="H127" s="77">
        <v>5.7899999999999998E-7</v>
      </c>
      <c r="I127" s="77">
        <v>5.7899999999999998E-7</v>
      </c>
      <c r="J127" s="77">
        <v>5.7899999999999998E-7</v>
      </c>
      <c r="K127" s="77">
        <v>5.7899999999999998E-7</v>
      </c>
      <c r="L127" s="77"/>
      <c r="M127" s="77">
        <v>5.7899999999999998E-7</v>
      </c>
      <c r="N127" s="77">
        <v>5.7899999999999998E-7</v>
      </c>
      <c r="O127" s="77">
        <v>5.7899999999999998E-7</v>
      </c>
      <c r="P127" s="77">
        <v>5.7899999999999998E-7</v>
      </c>
      <c r="Q127" s="77">
        <v>5.7899999999999998E-7</v>
      </c>
      <c r="R127" s="77">
        <v>5.7899999999999998E-7</v>
      </c>
      <c r="S127" s="77">
        <v>5.7899999999999998E-7</v>
      </c>
      <c r="T127" s="77">
        <v>5.7899999999999998E-7</v>
      </c>
      <c r="U127" s="77">
        <v>5.7899999999999998E-7</v>
      </c>
      <c r="V127" s="77">
        <v>5.7899999999999998E-7</v>
      </c>
      <c r="W127" s="77">
        <v>5.7899999999999998E-7</v>
      </c>
      <c r="X127" s="77"/>
      <c r="Y127" s="77">
        <v>5.7899999999999998E-7</v>
      </c>
      <c r="Z127" s="77">
        <v>5.7899999999999998E-7</v>
      </c>
      <c r="AA127" s="77">
        <v>5.7899999999999998E-7</v>
      </c>
      <c r="AB127" s="77">
        <v>5.7899999999999998E-7</v>
      </c>
      <c r="AD127" s="1" t="b">
        <f t="shared" si="1"/>
        <v>1</v>
      </c>
      <c r="AE127" s="77">
        <v>5.7899999999999998E-7</v>
      </c>
      <c r="AF127" s="77">
        <v>5.7899999999999998E-7</v>
      </c>
    </row>
    <row r="128" spans="1:32" x14ac:dyDescent="0.25">
      <c r="A128" s="13" t="s">
        <v>64</v>
      </c>
      <c r="B128" s="3" t="s">
        <v>468</v>
      </c>
      <c r="C128" s="2" t="s">
        <v>481</v>
      </c>
      <c r="D128" s="2" t="s">
        <v>523</v>
      </c>
      <c r="E128" s="14" t="s">
        <v>176</v>
      </c>
      <c r="F128" s="14" t="s">
        <v>199</v>
      </c>
      <c r="G128" s="42">
        <v>2.0833333333333335E-4</v>
      </c>
      <c r="H128" s="78">
        <v>2.0833333333333335E-4</v>
      </c>
      <c r="I128" s="78">
        <v>2.0833333333333335E-4</v>
      </c>
      <c r="J128" s="78">
        <v>2.0833333333333335E-4</v>
      </c>
      <c r="K128" s="78">
        <v>2.0833333333333335E-4</v>
      </c>
      <c r="L128" s="78"/>
      <c r="M128" s="78">
        <v>2.0833333333333335E-4</v>
      </c>
      <c r="N128" s="78">
        <v>2.0833333333333335E-4</v>
      </c>
      <c r="O128" s="78">
        <v>2.0833333333333335E-4</v>
      </c>
      <c r="P128" s="78">
        <v>2.0833333333333335E-4</v>
      </c>
      <c r="Q128" s="78">
        <v>2.0833333333333335E-4</v>
      </c>
      <c r="R128" s="78">
        <v>2.0833333333333335E-4</v>
      </c>
      <c r="S128" s="78">
        <v>2.0833333333333335E-4</v>
      </c>
      <c r="T128" s="78">
        <v>2.0833333333333335E-4</v>
      </c>
      <c r="U128" s="78">
        <v>2.0833333333333335E-4</v>
      </c>
      <c r="V128" s="78">
        <v>2.0833333333333335E-4</v>
      </c>
      <c r="W128" s="78">
        <v>2.0833333333333335E-4</v>
      </c>
      <c r="X128" s="78"/>
      <c r="Y128" s="78">
        <v>2.0833333333333335E-4</v>
      </c>
      <c r="Z128" s="78">
        <v>2.0833333333333335E-4</v>
      </c>
      <c r="AA128" s="78">
        <v>2.0833333333333335E-4</v>
      </c>
      <c r="AB128" s="78">
        <v>2.0833333333333335E-4</v>
      </c>
      <c r="AD128" s="1" t="b">
        <f t="shared" si="1"/>
        <v>1</v>
      </c>
      <c r="AE128" s="78">
        <v>2.0833333333333335E-4</v>
      </c>
      <c r="AF128" s="78">
        <v>2.0833333333333335E-4</v>
      </c>
    </row>
    <row r="129" spans="1:32" x14ac:dyDescent="0.25">
      <c r="A129" s="13" t="s">
        <v>447</v>
      </c>
      <c r="B129" s="3" t="s">
        <v>468</v>
      </c>
      <c r="C129" s="2" t="s">
        <v>481</v>
      </c>
      <c r="D129" s="2" t="s">
        <v>523</v>
      </c>
      <c r="E129" s="14" t="s">
        <v>448</v>
      </c>
      <c r="F129" s="14" t="s">
        <v>199</v>
      </c>
      <c r="G129" s="42">
        <v>1.0000000000000001E-5</v>
      </c>
      <c r="H129" s="78">
        <v>0</v>
      </c>
      <c r="I129" s="78">
        <v>0</v>
      </c>
      <c r="J129" s="78">
        <v>0</v>
      </c>
      <c r="K129" s="78">
        <v>0</v>
      </c>
      <c r="L129" s="78"/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/>
      <c r="Y129" s="78">
        <v>0</v>
      </c>
      <c r="Z129" s="78">
        <v>0</v>
      </c>
      <c r="AA129" s="78">
        <v>0</v>
      </c>
      <c r="AB129" s="78">
        <v>0</v>
      </c>
      <c r="AD129" s="1" t="b">
        <f t="shared" si="1"/>
        <v>1</v>
      </c>
      <c r="AE129" s="78">
        <v>0</v>
      </c>
      <c r="AF129" s="78">
        <v>0</v>
      </c>
    </row>
    <row r="130" spans="1:32" x14ac:dyDescent="0.25">
      <c r="A130" s="13" t="s">
        <v>449</v>
      </c>
      <c r="B130" s="3" t="s">
        <v>468</v>
      </c>
      <c r="C130" s="2" t="s">
        <v>481</v>
      </c>
      <c r="D130" s="2" t="s">
        <v>523</v>
      </c>
      <c r="E130" s="14" t="s">
        <v>450</v>
      </c>
      <c r="F130" s="14" t="s">
        <v>199</v>
      </c>
      <c r="G130" s="42">
        <v>1.0000000000000001E-5</v>
      </c>
      <c r="H130" s="78">
        <v>0</v>
      </c>
      <c r="I130" s="78">
        <v>0</v>
      </c>
      <c r="J130" s="78">
        <v>0</v>
      </c>
      <c r="K130" s="78">
        <v>0</v>
      </c>
      <c r="L130" s="78"/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/>
      <c r="Y130" s="78">
        <v>0</v>
      </c>
      <c r="Z130" s="78">
        <v>0</v>
      </c>
      <c r="AA130" s="78">
        <v>0</v>
      </c>
      <c r="AB130" s="78">
        <v>0</v>
      </c>
      <c r="AD130" s="1" t="b">
        <f t="shared" ref="AD130:AD193" si="63">M130=AB130</f>
        <v>1</v>
      </c>
      <c r="AE130" s="78">
        <v>0</v>
      </c>
      <c r="AF130" s="78">
        <v>0</v>
      </c>
    </row>
    <row r="131" spans="1:32" x14ac:dyDescent="0.25">
      <c r="A131" s="68" t="s">
        <v>438</v>
      </c>
      <c r="B131" s="3" t="s">
        <v>468</v>
      </c>
      <c r="C131" s="2" t="s">
        <v>481</v>
      </c>
      <c r="D131" s="2" t="s">
        <v>523</v>
      </c>
      <c r="E131" s="69" t="s">
        <v>179</v>
      </c>
      <c r="F131" s="69" t="s">
        <v>180</v>
      </c>
      <c r="G131" s="70"/>
      <c r="H131" s="83">
        <f>0.0000002*3</f>
        <v>5.9999999999999997E-7</v>
      </c>
      <c r="I131" s="83">
        <f t="shared" ref="I131:AF131" si="64">0.0000002*3</f>
        <v>5.9999999999999997E-7</v>
      </c>
      <c r="J131" s="83">
        <f t="shared" si="64"/>
        <v>5.9999999999999997E-7</v>
      </c>
      <c r="K131" s="83">
        <f>0.0000002 * 2 / 10</f>
        <v>4.0000000000000001E-8</v>
      </c>
      <c r="L131" s="83"/>
      <c r="M131" s="83">
        <f t="shared" ref="M131:Y131" si="65">0.0000002 * 2 / 1000</f>
        <v>3.9999999999999996E-10</v>
      </c>
      <c r="N131" s="83">
        <f t="shared" si="65"/>
        <v>3.9999999999999996E-10</v>
      </c>
      <c r="O131" s="83">
        <f t="shared" si="65"/>
        <v>3.9999999999999996E-10</v>
      </c>
      <c r="P131" s="83">
        <f t="shared" si="65"/>
        <v>3.9999999999999996E-10</v>
      </c>
      <c r="Q131" s="83">
        <f t="shared" si="65"/>
        <v>3.9999999999999996E-10</v>
      </c>
      <c r="R131" s="83">
        <f t="shared" si="65"/>
        <v>3.9999999999999996E-10</v>
      </c>
      <c r="S131" s="83">
        <f t="shared" si="65"/>
        <v>3.9999999999999996E-10</v>
      </c>
      <c r="T131" s="83">
        <f t="shared" si="65"/>
        <v>3.9999999999999996E-10</v>
      </c>
      <c r="U131" s="83">
        <f t="shared" si="65"/>
        <v>3.9999999999999996E-10</v>
      </c>
      <c r="V131" s="83">
        <f t="shared" si="65"/>
        <v>3.9999999999999996E-10</v>
      </c>
      <c r="W131" s="83">
        <f t="shared" si="65"/>
        <v>3.9999999999999996E-10</v>
      </c>
      <c r="X131" s="83"/>
      <c r="Y131" s="83">
        <f t="shared" si="65"/>
        <v>3.9999999999999996E-10</v>
      </c>
      <c r="Z131" s="83">
        <f>0.0000002 * 2 / 1000</f>
        <v>3.9999999999999996E-10</v>
      </c>
      <c r="AA131" s="83">
        <f>0.0000002 * 2 / 1000</f>
        <v>3.9999999999999996E-10</v>
      </c>
      <c r="AB131" s="83">
        <v>0</v>
      </c>
      <c r="AC131" s="83">
        <f>0.0000002 * 2 / 10</f>
        <v>4.0000000000000001E-8</v>
      </c>
      <c r="AD131" s="1" t="b">
        <f t="shared" si="63"/>
        <v>0</v>
      </c>
      <c r="AE131" s="83">
        <f t="shared" si="64"/>
        <v>5.9999999999999997E-7</v>
      </c>
      <c r="AF131" s="83">
        <f t="shared" si="64"/>
        <v>5.9999999999999997E-7</v>
      </c>
    </row>
    <row r="132" spans="1:32" x14ac:dyDescent="0.25">
      <c r="A132" s="68" t="s">
        <v>67</v>
      </c>
      <c r="B132" s="3" t="s">
        <v>468</v>
      </c>
      <c r="C132" s="2" t="s">
        <v>481</v>
      </c>
      <c r="D132" s="2" t="s">
        <v>523</v>
      </c>
      <c r="E132" s="69" t="s">
        <v>439</v>
      </c>
      <c r="F132" s="69" t="s">
        <v>440</v>
      </c>
      <c r="G132" s="71"/>
      <c r="H132" s="83">
        <f t="shared" ref="H132:AF132" si="66">1000 * 0.000001 / 12</f>
        <v>8.3333333333333331E-5</v>
      </c>
      <c r="I132" s="83">
        <f t="shared" si="66"/>
        <v>8.3333333333333331E-5</v>
      </c>
      <c r="J132" s="83">
        <f t="shared" si="66"/>
        <v>8.3333333333333331E-5</v>
      </c>
      <c r="K132" s="83">
        <f t="shared" si="66"/>
        <v>8.3333333333333331E-5</v>
      </c>
      <c r="L132" s="83"/>
      <c r="M132" s="83">
        <f t="shared" si="66"/>
        <v>8.3333333333333331E-5</v>
      </c>
      <c r="N132" s="83">
        <f t="shared" si="66"/>
        <v>8.3333333333333331E-5</v>
      </c>
      <c r="O132" s="83">
        <f t="shared" si="66"/>
        <v>8.3333333333333331E-5</v>
      </c>
      <c r="P132" s="83">
        <f t="shared" si="66"/>
        <v>8.3333333333333331E-5</v>
      </c>
      <c r="Q132" s="83">
        <f t="shared" si="66"/>
        <v>8.3333333333333331E-5</v>
      </c>
      <c r="R132" s="83">
        <f t="shared" si="66"/>
        <v>8.3333333333333331E-5</v>
      </c>
      <c r="S132" s="83">
        <f t="shared" si="66"/>
        <v>8.3333333333333331E-5</v>
      </c>
      <c r="T132" s="83">
        <f t="shared" si="66"/>
        <v>8.3333333333333331E-5</v>
      </c>
      <c r="U132" s="83">
        <f t="shared" si="66"/>
        <v>8.3333333333333331E-5</v>
      </c>
      <c r="V132" s="83">
        <f t="shared" si="66"/>
        <v>8.3333333333333331E-5</v>
      </c>
      <c r="W132" s="83">
        <f t="shared" si="66"/>
        <v>8.3333333333333331E-5</v>
      </c>
      <c r="X132" s="83"/>
      <c r="Y132" s="83">
        <f t="shared" si="66"/>
        <v>8.3333333333333331E-5</v>
      </c>
      <c r="Z132" s="83">
        <f t="shared" si="66"/>
        <v>8.3333333333333331E-5</v>
      </c>
      <c r="AA132" s="83">
        <f t="shared" si="66"/>
        <v>8.3333333333333331E-5</v>
      </c>
      <c r="AB132" s="83">
        <f t="shared" si="66"/>
        <v>8.3333333333333331E-5</v>
      </c>
      <c r="AD132" s="1" t="b">
        <f t="shared" si="63"/>
        <v>1</v>
      </c>
      <c r="AE132" s="83">
        <f t="shared" si="66"/>
        <v>8.3333333333333331E-5</v>
      </c>
      <c r="AF132" s="83">
        <f t="shared" si="66"/>
        <v>8.3333333333333331E-5</v>
      </c>
    </row>
    <row r="133" spans="1:32" x14ac:dyDescent="0.25">
      <c r="A133" s="68" t="s">
        <v>443</v>
      </c>
      <c r="B133" s="3" t="s">
        <v>468</v>
      </c>
      <c r="C133" s="2" t="s">
        <v>481</v>
      </c>
      <c r="D133" s="2" t="s">
        <v>523</v>
      </c>
      <c r="E133" s="69" t="s">
        <v>444</v>
      </c>
      <c r="F133" s="69" t="s">
        <v>95</v>
      </c>
      <c r="G133" s="71" t="s">
        <v>88</v>
      </c>
      <c r="H133" s="89" t="s">
        <v>524</v>
      </c>
      <c r="I133" s="89" t="s">
        <v>524</v>
      </c>
      <c r="J133" s="89" t="s">
        <v>524</v>
      </c>
      <c r="K133" s="89" t="s">
        <v>524</v>
      </c>
      <c r="L133" s="89"/>
      <c r="M133" s="89" t="s">
        <v>524</v>
      </c>
      <c r="N133" s="89" t="s">
        <v>524</v>
      </c>
      <c r="O133" s="89" t="s">
        <v>524</v>
      </c>
      <c r="P133" s="89" t="s">
        <v>524</v>
      </c>
      <c r="Q133" s="89" t="s">
        <v>524</v>
      </c>
      <c r="R133" s="89" t="s">
        <v>524</v>
      </c>
      <c r="S133" s="89" t="s">
        <v>524</v>
      </c>
      <c r="T133" s="89" t="s">
        <v>524</v>
      </c>
      <c r="U133" s="89" t="s">
        <v>524</v>
      </c>
      <c r="V133" s="89" t="s">
        <v>524</v>
      </c>
      <c r="W133" s="89" t="s">
        <v>524</v>
      </c>
      <c r="X133" s="89"/>
      <c r="Y133" s="89" t="s">
        <v>524</v>
      </c>
      <c r="Z133" s="89" t="s">
        <v>524</v>
      </c>
      <c r="AA133" s="89" t="s">
        <v>524</v>
      </c>
      <c r="AB133" s="89" t="s">
        <v>524</v>
      </c>
      <c r="AD133" s="1" t="b">
        <f t="shared" si="63"/>
        <v>1</v>
      </c>
      <c r="AE133" s="89" t="s">
        <v>524</v>
      </c>
      <c r="AF133" s="89" t="s">
        <v>524</v>
      </c>
    </row>
    <row r="134" spans="1:32" x14ac:dyDescent="0.25">
      <c r="A134" s="21" t="s">
        <v>66</v>
      </c>
      <c r="B134" s="3" t="s">
        <v>468</v>
      </c>
      <c r="C134" s="2" t="s">
        <v>481</v>
      </c>
      <c r="D134" s="2" t="s">
        <v>523</v>
      </c>
      <c r="E134" s="22" t="s">
        <v>178</v>
      </c>
      <c r="F134" s="22" t="s">
        <v>200</v>
      </c>
      <c r="G134" s="57">
        <v>1.0000000000000001E-5</v>
      </c>
      <c r="H134" s="83">
        <v>5.0000000000000001E-4</v>
      </c>
      <c r="I134" s="83">
        <v>5.0000000000000001E-4</v>
      </c>
      <c r="J134" s="83">
        <v>5.0000000000000001E-4</v>
      </c>
      <c r="K134" s="83">
        <f>0.0005 * 1.2</f>
        <v>5.9999999999999995E-4</v>
      </c>
      <c r="L134" s="83"/>
      <c r="M134" s="83">
        <f t="shared" ref="M134:Y134" si="67">0.0005 / 10</f>
        <v>5.0000000000000002E-5</v>
      </c>
      <c r="N134" s="83">
        <f t="shared" si="67"/>
        <v>5.0000000000000002E-5</v>
      </c>
      <c r="O134" s="83">
        <f>0.0005</f>
        <v>5.0000000000000001E-4</v>
      </c>
      <c r="P134" s="83">
        <f t="shared" si="67"/>
        <v>5.0000000000000002E-5</v>
      </c>
      <c r="Q134" s="83">
        <f t="shared" si="67"/>
        <v>5.0000000000000002E-5</v>
      </c>
      <c r="R134" s="83">
        <f t="shared" si="67"/>
        <v>5.0000000000000002E-5</v>
      </c>
      <c r="S134" s="83">
        <f t="shared" si="67"/>
        <v>5.0000000000000002E-5</v>
      </c>
      <c r="T134" s="83">
        <f t="shared" si="67"/>
        <v>5.0000000000000002E-5</v>
      </c>
      <c r="U134" s="83">
        <f t="shared" si="67"/>
        <v>5.0000000000000002E-5</v>
      </c>
      <c r="V134" s="83">
        <f t="shared" si="67"/>
        <v>5.0000000000000002E-5</v>
      </c>
      <c r="W134" s="83">
        <f t="shared" si="67"/>
        <v>5.0000000000000002E-5</v>
      </c>
      <c r="X134" s="83"/>
      <c r="Y134" s="83">
        <f t="shared" si="67"/>
        <v>5.0000000000000002E-5</v>
      </c>
      <c r="Z134" s="83">
        <f>0.0005 / 10</f>
        <v>5.0000000000000002E-5</v>
      </c>
      <c r="AA134" s="83">
        <f>0.0005 / 10</f>
        <v>5.0000000000000002E-5</v>
      </c>
      <c r="AB134" s="83">
        <f>0.0005</f>
        <v>5.0000000000000001E-4</v>
      </c>
      <c r="AC134" s="83">
        <f>0.0005 * 1.2</f>
        <v>5.9999999999999995E-4</v>
      </c>
      <c r="AD134" s="1" t="b">
        <f t="shared" si="63"/>
        <v>0</v>
      </c>
      <c r="AE134" s="83">
        <v>5.0000000000000001E-4</v>
      </c>
      <c r="AF134" s="83">
        <v>5.0000000000000001E-4</v>
      </c>
    </row>
    <row r="135" spans="1:32" x14ac:dyDescent="0.25">
      <c r="A135" s="21" t="s">
        <v>435</v>
      </c>
      <c r="B135" s="3" t="s">
        <v>468</v>
      </c>
      <c r="C135" s="2" t="s">
        <v>481</v>
      </c>
      <c r="D135" s="2" t="s">
        <v>523</v>
      </c>
      <c r="E135" s="22" t="s">
        <v>436</v>
      </c>
      <c r="F135" s="22" t="s">
        <v>437</v>
      </c>
      <c r="G135" s="66">
        <v>1.0000000000000001E-9</v>
      </c>
      <c r="H135" s="83">
        <v>4.9999999999999999E-13</v>
      </c>
      <c r="I135" s="83">
        <v>4.9999999999999999E-13</v>
      </c>
      <c r="J135" s="83">
        <v>4.9999999999999999E-13</v>
      </c>
      <c r="K135" s="83">
        <v>4.9999999999999999E-13</v>
      </c>
      <c r="L135" s="83"/>
      <c r="M135" s="83">
        <v>4.9999999999999999E-13</v>
      </c>
      <c r="N135" s="83">
        <v>4.9999999999999999E-13</v>
      </c>
      <c r="O135" s="83">
        <v>4.9999999999999999E-13</v>
      </c>
      <c r="P135" s="83">
        <v>4.9999999999999999E-13</v>
      </c>
      <c r="Q135" s="83">
        <v>4.9999999999999999E-13</v>
      </c>
      <c r="R135" s="83">
        <v>4.9999999999999999E-13</v>
      </c>
      <c r="S135" s="83">
        <v>4.9999999999999999E-13</v>
      </c>
      <c r="T135" s="83">
        <v>4.9999999999999999E-13</v>
      </c>
      <c r="U135" s="83">
        <v>4.9999999999999999E-13</v>
      </c>
      <c r="V135" s="83">
        <v>4.9999999999999999E-13</v>
      </c>
      <c r="W135" s="83">
        <v>4.9999999999999999E-13</v>
      </c>
      <c r="X135" s="83"/>
      <c r="Y135" s="83">
        <v>4.9999999999999999E-13</v>
      </c>
      <c r="Z135" s="83">
        <v>4.9999999999999999E-13</v>
      </c>
      <c r="AA135" s="83">
        <v>4.9999999999999999E-13</v>
      </c>
      <c r="AB135" s="83">
        <v>4.9999999999999999E-13</v>
      </c>
      <c r="AD135" s="1" t="b">
        <f t="shared" si="63"/>
        <v>1</v>
      </c>
      <c r="AE135" s="83">
        <v>4.9999999999999999E-13</v>
      </c>
      <c r="AF135" s="83">
        <v>4.9999999999999999E-13</v>
      </c>
    </row>
    <row r="136" spans="1:32" x14ac:dyDescent="0.25">
      <c r="A136" s="21" t="s">
        <v>229</v>
      </c>
      <c r="B136" s="3" t="s">
        <v>468</v>
      </c>
      <c r="C136" s="2" t="s">
        <v>481</v>
      </c>
      <c r="D136" s="2" t="s">
        <v>523</v>
      </c>
      <c r="E136" s="22" t="s">
        <v>312</v>
      </c>
      <c r="F136" s="22" t="s">
        <v>110</v>
      </c>
      <c r="G136" s="57">
        <v>10</v>
      </c>
      <c r="H136" s="77">
        <v>10</v>
      </c>
      <c r="I136" s="77">
        <v>10</v>
      </c>
      <c r="J136" s="77">
        <v>10</v>
      </c>
      <c r="K136" s="77">
        <v>10</v>
      </c>
      <c r="L136" s="77"/>
      <c r="M136" s="77">
        <v>10</v>
      </c>
      <c r="N136" s="77">
        <v>10</v>
      </c>
      <c r="O136" s="77">
        <v>10</v>
      </c>
      <c r="P136" s="77">
        <v>10</v>
      </c>
      <c r="Q136" s="77">
        <v>10</v>
      </c>
      <c r="R136" s="77">
        <v>10</v>
      </c>
      <c r="S136" s="77">
        <v>10</v>
      </c>
      <c r="T136" s="77">
        <v>10</v>
      </c>
      <c r="U136" s="77">
        <v>10</v>
      </c>
      <c r="V136" s="77">
        <v>10</v>
      </c>
      <c r="W136" s="77">
        <v>10</v>
      </c>
      <c r="X136" s="77"/>
      <c r="Y136" s="77">
        <v>10</v>
      </c>
      <c r="Z136" s="77">
        <v>10</v>
      </c>
      <c r="AA136" s="77">
        <v>10</v>
      </c>
      <c r="AB136" s="77">
        <v>10</v>
      </c>
      <c r="AD136" s="1" t="b">
        <f t="shared" si="63"/>
        <v>1</v>
      </c>
      <c r="AE136" s="77">
        <v>10</v>
      </c>
      <c r="AF136" s="77">
        <v>10</v>
      </c>
    </row>
    <row r="137" spans="1:32" x14ac:dyDescent="0.25">
      <c r="A137" s="21" t="s">
        <v>230</v>
      </c>
      <c r="B137" s="3" t="s">
        <v>468</v>
      </c>
      <c r="C137" s="2" t="s">
        <v>481</v>
      </c>
      <c r="D137" s="2" t="s">
        <v>523</v>
      </c>
      <c r="E137" s="22" t="s">
        <v>313</v>
      </c>
      <c r="F137" s="22" t="s">
        <v>302</v>
      </c>
      <c r="G137" s="57">
        <v>-0.04</v>
      </c>
      <c r="H137" s="77">
        <v>-0.04</v>
      </c>
      <c r="I137" s="77">
        <v>-0.04</v>
      </c>
      <c r="J137" s="77">
        <v>-0.04</v>
      </c>
      <c r="K137" s="77">
        <v>-0.04</v>
      </c>
      <c r="L137" s="77"/>
      <c r="M137" s="77">
        <v>-0.04</v>
      </c>
      <c r="N137" s="77">
        <v>-0.04</v>
      </c>
      <c r="O137" s="77">
        <v>-0.04</v>
      </c>
      <c r="P137" s="77">
        <v>-0.04</v>
      </c>
      <c r="Q137" s="77">
        <v>-0.04</v>
      </c>
      <c r="R137" s="77">
        <v>-0.04</v>
      </c>
      <c r="S137" s="77">
        <v>-0.04</v>
      </c>
      <c r="T137" s="77">
        <v>-0.04</v>
      </c>
      <c r="U137" s="77">
        <v>-0.04</v>
      </c>
      <c r="V137" s="77">
        <v>-0.04</v>
      </c>
      <c r="W137" s="77">
        <v>-0.04</v>
      </c>
      <c r="X137" s="77"/>
      <c r="Y137" s="77">
        <v>-0.04</v>
      </c>
      <c r="Z137" s="77">
        <v>-0.04</v>
      </c>
      <c r="AA137" s="77">
        <v>-0.04</v>
      </c>
      <c r="AB137" s="77">
        <v>-0.04</v>
      </c>
      <c r="AD137" s="1" t="b">
        <f t="shared" si="63"/>
        <v>1</v>
      </c>
      <c r="AE137" s="77">
        <v>-0.04</v>
      </c>
      <c r="AF137" s="77">
        <v>-0.04</v>
      </c>
    </row>
    <row r="138" spans="1:32" x14ac:dyDescent="0.25">
      <c r="A138" s="21" t="s">
        <v>231</v>
      </c>
      <c r="B138" s="3" t="s">
        <v>468</v>
      </c>
      <c r="C138" s="2" t="s">
        <v>481</v>
      </c>
      <c r="D138" s="2" t="s">
        <v>523</v>
      </c>
      <c r="E138" s="22" t="s">
        <v>314</v>
      </c>
      <c r="F138" s="22" t="s">
        <v>101</v>
      </c>
      <c r="G138" s="57">
        <v>2.9</v>
      </c>
      <c r="H138" s="77">
        <v>2.9</v>
      </c>
      <c r="I138" s="77">
        <v>2.9</v>
      </c>
      <c r="J138" s="77">
        <v>2.9</v>
      </c>
      <c r="K138" s="77">
        <v>2.9</v>
      </c>
      <c r="L138" s="77"/>
      <c r="M138" s="77">
        <v>2.9</v>
      </c>
      <c r="N138" s="77">
        <v>2.9</v>
      </c>
      <c r="O138" s="77">
        <v>2.9</v>
      </c>
      <c r="P138" s="77">
        <v>2.9</v>
      </c>
      <c r="Q138" s="77">
        <v>2.9</v>
      </c>
      <c r="R138" s="77">
        <v>2.9</v>
      </c>
      <c r="S138" s="77">
        <v>2.9</v>
      </c>
      <c r="T138" s="77">
        <v>2.9</v>
      </c>
      <c r="U138" s="77">
        <v>2.9</v>
      </c>
      <c r="V138" s="77">
        <v>2.9</v>
      </c>
      <c r="W138" s="77">
        <v>2.9</v>
      </c>
      <c r="X138" s="77"/>
      <c r="Y138" s="77">
        <v>2.9</v>
      </c>
      <c r="Z138" s="77">
        <v>2.9</v>
      </c>
      <c r="AA138" s="77">
        <v>2.9</v>
      </c>
      <c r="AB138" s="77">
        <v>2.9</v>
      </c>
      <c r="AD138" s="1" t="b">
        <f t="shared" si="63"/>
        <v>1</v>
      </c>
      <c r="AE138" s="77">
        <v>2.9</v>
      </c>
      <c r="AF138" s="77">
        <v>2.9</v>
      </c>
    </row>
    <row r="139" spans="1:32" x14ac:dyDescent="0.25">
      <c r="A139" s="21" t="s">
        <v>232</v>
      </c>
      <c r="B139" s="3" t="s">
        <v>468</v>
      </c>
      <c r="C139" s="2" t="s">
        <v>481</v>
      </c>
      <c r="D139" s="2" t="s">
        <v>523</v>
      </c>
      <c r="E139" s="22" t="s">
        <v>315</v>
      </c>
      <c r="F139" s="22" t="s">
        <v>96</v>
      </c>
      <c r="G139" s="57">
        <v>1</v>
      </c>
      <c r="H139" s="77">
        <v>1</v>
      </c>
      <c r="I139" s="77">
        <v>1</v>
      </c>
      <c r="J139" s="77">
        <v>1</v>
      </c>
      <c r="K139" s="77">
        <v>1</v>
      </c>
      <c r="L139" s="77"/>
      <c r="M139" s="77">
        <v>1</v>
      </c>
      <c r="N139" s="77">
        <v>1</v>
      </c>
      <c r="O139" s="77">
        <v>1</v>
      </c>
      <c r="P139" s="77">
        <v>1</v>
      </c>
      <c r="Q139" s="77">
        <v>1</v>
      </c>
      <c r="R139" s="77">
        <v>1</v>
      </c>
      <c r="S139" s="77">
        <v>1</v>
      </c>
      <c r="T139" s="77">
        <v>1</v>
      </c>
      <c r="U139" s="77">
        <v>1</v>
      </c>
      <c r="V139" s="77">
        <v>1</v>
      </c>
      <c r="W139" s="77">
        <v>1</v>
      </c>
      <c r="X139" s="77"/>
      <c r="Y139" s="77">
        <v>1</v>
      </c>
      <c r="Z139" s="77">
        <v>1</v>
      </c>
      <c r="AA139" s="77">
        <v>1</v>
      </c>
      <c r="AB139" s="77">
        <v>1</v>
      </c>
      <c r="AD139" s="1" t="b">
        <f t="shared" si="63"/>
        <v>1</v>
      </c>
      <c r="AE139" s="77">
        <v>1</v>
      </c>
      <c r="AF139" s="77">
        <v>1</v>
      </c>
    </row>
    <row r="140" spans="1:32" x14ac:dyDescent="0.25">
      <c r="A140" s="21" t="s">
        <v>565</v>
      </c>
      <c r="B140" s="3" t="s">
        <v>468</v>
      </c>
      <c r="C140" s="2" t="s">
        <v>481</v>
      </c>
      <c r="D140" s="2" t="s">
        <v>523</v>
      </c>
      <c r="E140" s="22" t="s">
        <v>179</v>
      </c>
      <c r="F140" s="22" t="s">
        <v>180</v>
      </c>
      <c r="G140" s="57">
        <v>6.0000000000000002E-5</v>
      </c>
      <c r="H140" s="80">
        <v>1.9999999999999999E-7</v>
      </c>
      <c r="I140" s="80">
        <v>1.9999999999999999E-7</v>
      </c>
      <c r="J140" s="80">
        <v>1.9999999999999999E-7</v>
      </c>
      <c r="K140" s="80">
        <f>0.0000002 * 2 / 10</f>
        <v>4.0000000000000001E-8</v>
      </c>
      <c r="L140" s="80"/>
      <c r="M140" s="80">
        <f t="shared" ref="M140:Y140" si="68">0.0000002 * 2 / 10</f>
        <v>4.0000000000000001E-8</v>
      </c>
      <c r="N140" s="80">
        <f t="shared" si="68"/>
        <v>4.0000000000000001E-8</v>
      </c>
      <c r="O140" s="80">
        <f t="shared" si="68"/>
        <v>4.0000000000000001E-8</v>
      </c>
      <c r="P140" s="80">
        <f t="shared" si="68"/>
        <v>4.0000000000000001E-8</v>
      </c>
      <c r="Q140" s="80">
        <f t="shared" si="68"/>
        <v>4.0000000000000001E-8</v>
      </c>
      <c r="R140" s="80">
        <f t="shared" si="68"/>
        <v>4.0000000000000001E-8</v>
      </c>
      <c r="S140" s="80">
        <f t="shared" si="68"/>
        <v>4.0000000000000001E-8</v>
      </c>
      <c r="T140" s="80">
        <f t="shared" si="68"/>
        <v>4.0000000000000001E-8</v>
      </c>
      <c r="U140" s="80">
        <f t="shared" si="68"/>
        <v>4.0000000000000001E-8</v>
      </c>
      <c r="V140" s="80">
        <f t="shared" si="68"/>
        <v>4.0000000000000001E-8</v>
      </c>
      <c r="W140" s="80">
        <f t="shared" si="68"/>
        <v>4.0000000000000001E-8</v>
      </c>
      <c r="X140" s="80"/>
      <c r="Y140" s="80">
        <f t="shared" si="68"/>
        <v>4.0000000000000001E-8</v>
      </c>
      <c r="Z140" s="80">
        <f>0.0000002 * 2 / 10</f>
        <v>4.0000000000000001E-8</v>
      </c>
      <c r="AA140" s="80">
        <f>0.0000002 * 2 / 10</f>
        <v>4.0000000000000001E-8</v>
      </c>
      <c r="AB140" s="80">
        <v>1.9999999999999999E-7</v>
      </c>
      <c r="AC140" s="80">
        <f>0.0000002 * 2 / 10</f>
        <v>4.0000000000000001E-8</v>
      </c>
      <c r="AD140" s="1" t="b">
        <f t="shared" si="63"/>
        <v>0</v>
      </c>
      <c r="AE140" s="80">
        <v>1.9999999999999999E-7</v>
      </c>
      <c r="AF140" s="80">
        <v>1.9999999999999999E-7</v>
      </c>
    </row>
    <row r="141" spans="1:32" x14ac:dyDescent="0.25">
      <c r="A141" s="21" t="s">
        <v>233</v>
      </c>
      <c r="B141" s="3" t="s">
        <v>468</v>
      </c>
      <c r="C141" s="2" t="s">
        <v>481</v>
      </c>
      <c r="D141" s="2" t="s">
        <v>523</v>
      </c>
      <c r="E141" s="22" t="s">
        <v>316</v>
      </c>
      <c r="F141" s="22" t="s">
        <v>110</v>
      </c>
      <c r="G141" s="57">
        <v>10</v>
      </c>
      <c r="H141" s="77">
        <v>10</v>
      </c>
      <c r="I141" s="77">
        <v>10</v>
      </c>
      <c r="J141" s="77">
        <v>10</v>
      </c>
      <c r="K141" s="77">
        <v>10</v>
      </c>
      <c r="L141" s="77"/>
      <c r="M141" s="77">
        <v>10</v>
      </c>
      <c r="N141" s="77">
        <v>10</v>
      </c>
      <c r="O141" s="77">
        <v>10</v>
      </c>
      <c r="P141" s="77">
        <v>10</v>
      </c>
      <c r="Q141" s="77">
        <v>10</v>
      </c>
      <c r="R141" s="77">
        <v>10</v>
      </c>
      <c r="S141" s="77">
        <v>10</v>
      </c>
      <c r="T141" s="77">
        <v>10</v>
      </c>
      <c r="U141" s="77">
        <v>10</v>
      </c>
      <c r="V141" s="77">
        <v>10</v>
      </c>
      <c r="W141" s="77">
        <v>10</v>
      </c>
      <c r="X141" s="77"/>
      <c r="Y141" s="77">
        <v>10</v>
      </c>
      <c r="Z141" s="77">
        <v>10</v>
      </c>
      <c r="AA141" s="77">
        <v>10</v>
      </c>
      <c r="AB141" s="77">
        <v>10</v>
      </c>
      <c r="AD141" s="1" t="b">
        <f t="shared" si="63"/>
        <v>1</v>
      </c>
      <c r="AE141" s="77">
        <v>10</v>
      </c>
      <c r="AF141" s="77">
        <v>10</v>
      </c>
    </row>
    <row r="142" spans="1:32" x14ac:dyDescent="0.25">
      <c r="A142" s="21" t="s">
        <v>234</v>
      </c>
      <c r="B142" s="3" t="s">
        <v>468</v>
      </c>
      <c r="C142" s="2" t="s">
        <v>481</v>
      </c>
      <c r="D142" s="2" t="s">
        <v>523</v>
      </c>
      <c r="E142" s="22" t="s">
        <v>317</v>
      </c>
      <c r="F142" s="22" t="s">
        <v>302</v>
      </c>
      <c r="G142" s="57">
        <v>-0.04</v>
      </c>
      <c r="H142" s="77">
        <v>-0.04</v>
      </c>
      <c r="I142" s="77">
        <v>-0.04</v>
      </c>
      <c r="J142" s="77">
        <v>-0.04</v>
      </c>
      <c r="K142" s="77">
        <v>-0.04</v>
      </c>
      <c r="L142" s="77"/>
      <c r="M142" s="77">
        <v>-0.04</v>
      </c>
      <c r="N142" s="77">
        <v>-0.04</v>
      </c>
      <c r="O142" s="77">
        <v>-0.04</v>
      </c>
      <c r="P142" s="77">
        <v>-0.04</v>
      </c>
      <c r="Q142" s="77">
        <v>-0.04</v>
      </c>
      <c r="R142" s="77">
        <v>-0.04</v>
      </c>
      <c r="S142" s="77">
        <v>-0.04</v>
      </c>
      <c r="T142" s="77">
        <v>-0.04</v>
      </c>
      <c r="U142" s="77">
        <v>-0.04</v>
      </c>
      <c r="V142" s="77">
        <v>-0.04</v>
      </c>
      <c r="W142" s="77">
        <v>-0.04</v>
      </c>
      <c r="X142" s="77"/>
      <c r="Y142" s="77">
        <v>-0.04</v>
      </c>
      <c r="Z142" s="77">
        <v>-0.04</v>
      </c>
      <c r="AA142" s="77">
        <v>-0.04</v>
      </c>
      <c r="AB142" s="77">
        <v>-0.04</v>
      </c>
      <c r="AD142" s="1" t="b">
        <f t="shared" si="63"/>
        <v>1</v>
      </c>
      <c r="AE142" s="77">
        <v>-0.04</v>
      </c>
      <c r="AF142" s="77">
        <v>-0.04</v>
      </c>
    </row>
    <row r="143" spans="1:32" x14ac:dyDescent="0.25">
      <c r="A143" s="21" t="s">
        <v>235</v>
      </c>
      <c r="B143" s="3" t="s">
        <v>468</v>
      </c>
      <c r="C143" s="2" t="s">
        <v>481</v>
      </c>
      <c r="D143" s="2" t="s">
        <v>523</v>
      </c>
      <c r="E143" s="22" t="s">
        <v>318</v>
      </c>
      <c r="F143" s="22" t="s">
        <v>101</v>
      </c>
      <c r="G143" s="57">
        <v>2.9</v>
      </c>
      <c r="H143" s="77">
        <v>2.9</v>
      </c>
      <c r="I143" s="77">
        <v>2.9</v>
      </c>
      <c r="J143" s="77">
        <v>2.9</v>
      </c>
      <c r="K143" s="77">
        <v>2.9</v>
      </c>
      <c r="L143" s="77"/>
      <c r="M143" s="77">
        <v>2.9</v>
      </c>
      <c r="N143" s="77">
        <v>2.9</v>
      </c>
      <c r="O143" s="77">
        <v>2.9</v>
      </c>
      <c r="P143" s="77">
        <v>2.9</v>
      </c>
      <c r="Q143" s="77">
        <v>2.9</v>
      </c>
      <c r="R143" s="77">
        <v>2.9</v>
      </c>
      <c r="S143" s="77">
        <v>2.9</v>
      </c>
      <c r="T143" s="77">
        <v>2.9</v>
      </c>
      <c r="U143" s="77">
        <v>2.9</v>
      </c>
      <c r="V143" s="77">
        <v>2.9</v>
      </c>
      <c r="W143" s="77">
        <v>2.9</v>
      </c>
      <c r="X143" s="77"/>
      <c r="Y143" s="77">
        <v>2.9</v>
      </c>
      <c r="Z143" s="77">
        <v>2.9</v>
      </c>
      <c r="AA143" s="77">
        <v>2.9</v>
      </c>
      <c r="AB143" s="77">
        <v>2.9</v>
      </c>
      <c r="AD143" s="1" t="b">
        <f t="shared" si="63"/>
        <v>1</v>
      </c>
      <c r="AE143" s="77">
        <v>2.9</v>
      </c>
      <c r="AF143" s="77">
        <v>2.9</v>
      </c>
    </row>
    <row r="144" spans="1:32" x14ac:dyDescent="0.25">
      <c r="A144" s="21" t="s">
        <v>236</v>
      </c>
      <c r="B144" s="3" t="s">
        <v>468</v>
      </c>
      <c r="C144" s="2" t="s">
        <v>481</v>
      </c>
      <c r="D144" s="2" t="s">
        <v>523</v>
      </c>
      <c r="E144" s="22" t="s">
        <v>319</v>
      </c>
      <c r="F144" s="22" t="s">
        <v>96</v>
      </c>
      <c r="G144" s="57">
        <v>1</v>
      </c>
      <c r="H144" s="77">
        <v>1</v>
      </c>
      <c r="I144" s="77">
        <v>1</v>
      </c>
      <c r="J144" s="77">
        <v>1</v>
      </c>
      <c r="K144" s="77">
        <v>1</v>
      </c>
      <c r="L144" s="77"/>
      <c r="M144" s="77">
        <v>1</v>
      </c>
      <c r="N144" s="77">
        <v>1</v>
      </c>
      <c r="O144" s="77">
        <v>1</v>
      </c>
      <c r="P144" s="77">
        <v>1</v>
      </c>
      <c r="Q144" s="77">
        <v>1</v>
      </c>
      <c r="R144" s="77">
        <v>1</v>
      </c>
      <c r="S144" s="77">
        <v>1</v>
      </c>
      <c r="T144" s="77">
        <v>1</v>
      </c>
      <c r="U144" s="77">
        <v>1</v>
      </c>
      <c r="V144" s="77">
        <v>1</v>
      </c>
      <c r="W144" s="77">
        <v>1</v>
      </c>
      <c r="X144" s="77"/>
      <c r="Y144" s="77">
        <v>1</v>
      </c>
      <c r="Z144" s="77">
        <v>1</v>
      </c>
      <c r="AA144" s="77">
        <v>1</v>
      </c>
      <c r="AB144" s="77">
        <v>1</v>
      </c>
      <c r="AD144" s="1" t="b">
        <f t="shared" si="63"/>
        <v>1</v>
      </c>
      <c r="AE144" s="77">
        <v>1</v>
      </c>
      <c r="AF144" s="77">
        <v>1</v>
      </c>
    </row>
    <row r="145" spans="1:32" x14ac:dyDescent="0.25">
      <c r="A145" s="21" t="s">
        <v>69</v>
      </c>
      <c r="B145" s="3" t="s">
        <v>468</v>
      </c>
      <c r="C145" s="2" t="s">
        <v>481</v>
      </c>
      <c r="D145" s="2" t="s">
        <v>523</v>
      </c>
      <c r="E145" s="22" t="s">
        <v>181</v>
      </c>
      <c r="F145" s="22" t="s">
        <v>101</v>
      </c>
      <c r="G145" s="57">
        <v>0</v>
      </c>
      <c r="H145" s="77">
        <v>0</v>
      </c>
      <c r="I145" s="77">
        <v>0</v>
      </c>
      <c r="J145" s="77">
        <v>0</v>
      </c>
      <c r="K145" s="77">
        <v>0</v>
      </c>
      <c r="L145" s="77"/>
      <c r="M145" s="77">
        <v>0</v>
      </c>
      <c r="N145" s="77">
        <v>0</v>
      </c>
      <c r="O145" s="77">
        <v>0</v>
      </c>
      <c r="P145" s="77">
        <v>0</v>
      </c>
      <c r="Q145" s="77">
        <v>0</v>
      </c>
      <c r="R145" s="77">
        <v>0</v>
      </c>
      <c r="S145" s="77">
        <v>0</v>
      </c>
      <c r="T145" s="77">
        <v>0</v>
      </c>
      <c r="U145" s="77">
        <v>0</v>
      </c>
      <c r="V145" s="77">
        <v>0</v>
      </c>
      <c r="W145" s="77">
        <v>0</v>
      </c>
      <c r="X145" s="77"/>
      <c r="Y145" s="77">
        <v>0</v>
      </c>
      <c r="Z145" s="77">
        <v>0</v>
      </c>
      <c r="AA145" s="77">
        <v>0</v>
      </c>
      <c r="AB145" s="77">
        <v>0</v>
      </c>
      <c r="AD145" s="1" t="b">
        <f t="shared" si="63"/>
        <v>1</v>
      </c>
      <c r="AE145" s="77">
        <v>0</v>
      </c>
      <c r="AF145" s="77">
        <v>0</v>
      </c>
    </row>
    <row r="146" spans="1:32" x14ac:dyDescent="0.25">
      <c r="A146" s="72" t="s">
        <v>70</v>
      </c>
      <c r="B146" s="3" t="s">
        <v>468</v>
      </c>
      <c r="C146" s="2" t="s">
        <v>481</v>
      </c>
      <c r="D146" s="2" t="s">
        <v>523</v>
      </c>
      <c r="E146" s="73" t="s">
        <v>182</v>
      </c>
      <c r="F146" s="73" t="s">
        <v>199</v>
      </c>
      <c r="G146" s="66">
        <v>1.6666666666666666E-4</v>
      </c>
      <c r="H146" s="80">
        <v>5.0000000000000004E-6</v>
      </c>
      <c r="I146" s="80">
        <v>5.0000000000000004E-6</v>
      </c>
      <c r="J146" s="80">
        <v>5.0000000000000004E-6</v>
      </c>
      <c r="K146" s="80">
        <v>5.0000000000000004E-6</v>
      </c>
      <c r="L146" s="80"/>
      <c r="M146" s="80">
        <v>5.0000000000000004E-6</v>
      </c>
      <c r="N146" s="80">
        <v>5.0000000000000004E-6</v>
      </c>
      <c r="O146" s="80">
        <v>5.0000000000000004E-6</v>
      </c>
      <c r="P146" s="80">
        <v>5.0000000000000004E-6</v>
      </c>
      <c r="Q146" s="80">
        <v>5.0000000000000004E-6</v>
      </c>
      <c r="R146" s="80">
        <v>5.0000000000000004E-6</v>
      </c>
      <c r="S146" s="80">
        <v>5.0000000000000004E-6</v>
      </c>
      <c r="T146" s="80">
        <v>5.0000000000000004E-6</v>
      </c>
      <c r="U146" s="80">
        <v>5.0000000000000004E-6</v>
      </c>
      <c r="V146" s="80">
        <v>5.0000000000000004E-6</v>
      </c>
      <c r="W146" s="80">
        <v>5.0000000000000004E-6</v>
      </c>
      <c r="X146" s="80"/>
      <c r="Y146" s="80">
        <v>5.0000000000000004E-6</v>
      </c>
      <c r="Z146" s="80">
        <v>5.0000000000000004E-6</v>
      </c>
      <c r="AA146" s="80">
        <v>5.0000000000000004E-6</v>
      </c>
      <c r="AB146" s="80">
        <v>5.0000000000000004E-6</v>
      </c>
      <c r="AD146" s="1" t="b">
        <f t="shared" si="63"/>
        <v>1</v>
      </c>
      <c r="AE146" s="80">
        <v>5.0000000000000004E-6</v>
      </c>
      <c r="AF146" s="80">
        <v>5.0000000000000004E-6</v>
      </c>
    </row>
    <row r="147" spans="1:32" x14ac:dyDescent="0.25">
      <c r="A147" s="23" t="s">
        <v>56</v>
      </c>
      <c r="B147" s="3" t="s">
        <v>468</v>
      </c>
      <c r="C147" s="2" t="s">
        <v>481</v>
      </c>
      <c r="D147" s="2" t="s">
        <v>523</v>
      </c>
      <c r="E147" s="24" t="s">
        <v>168</v>
      </c>
      <c r="F147" s="24" t="s">
        <v>199</v>
      </c>
      <c r="G147" s="46">
        <v>0</v>
      </c>
      <c r="H147" s="77">
        <v>0</v>
      </c>
      <c r="I147" s="77">
        <v>0</v>
      </c>
      <c r="J147" s="77">
        <v>0</v>
      </c>
      <c r="K147" s="77">
        <v>0</v>
      </c>
      <c r="L147" s="77"/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7">
        <v>0</v>
      </c>
      <c r="S147" s="77">
        <v>0</v>
      </c>
      <c r="T147" s="77">
        <v>0</v>
      </c>
      <c r="U147" s="77">
        <v>0</v>
      </c>
      <c r="V147" s="77">
        <v>0</v>
      </c>
      <c r="W147" s="77">
        <v>0</v>
      </c>
      <c r="X147" s="77"/>
      <c r="Y147" s="77">
        <v>0</v>
      </c>
      <c r="Z147" s="77">
        <v>0</v>
      </c>
      <c r="AA147" s="77">
        <v>0</v>
      </c>
      <c r="AB147" s="77">
        <v>0</v>
      </c>
      <c r="AD147" s="1" t="b">
        <f t="shared" si="63"/>
        <v>1</v>
      </c>
      <c r="AE147" s="77">
        <v>0</v>
      </c>
      <c r="AF147" s="77">
        <v>0</v>
      </c>
    </row>
    <row r="148" spans="1:32" x14ac:dyDescent="0.25">
      <c r="A148" s="23" t="s">
        <v>57</v>
      </c>
      <c r="B148" s="3" t="s">
        <v>468</v>
      </c>
      <c r="C148" s="2" t="s">
        <v>481</v>
      </c>
      <c r="D148" s="2" t="s">
        <v>523</v>
      </c>
      <c r="E148" s="24" t="s">
        <v>169</v>
      </c>
      <c r="F148" s="24" t="s">
        <v>199</v>
      </c>
      <c r="G148" s="46">
        <v>2E-3</v>
      </c>
      <c r="H148" s="77">
        <v>2E-3</v>
      </c>
      <c r="I148" s="77">
        <v>2E-3</v>
      </c>
      <c r="J148" s="77">
        <v>2E-3</v>
      </c>
      <c r="K148" s="77">
        <v>2E-3</v>
      </c>
      <c r="L148" s="77"/>
      <c r="M148" s="77">
        <v>2E-3</v>
      </c>
      <c r="N148" s="77">
        <v>2E-3</v>
      </c>
      <c r="O148" s="77">
        <v>2E-3</v>
      </c>
      <c r="P148" s="77">
        <v>2E-3</v>
      </c>
      <c r="Q148" s="77">
        <v>2E-3</v>
      </c>
      <c r="R148" s="77">
        <v>2E-3</v>
      </c>
      <c r="S148" s="77">
        <v>2E-3</v>
      </c>
      <c r="T148" s="77">
        <v>2E-3</v>
      </c>
      <c r="U148" s="77">
        <v>2E-3</v>
      </c>
      <c r="V148" s="77">
        <v>2E-3</v>
      </c>
      <c r="W148" s="77">
        <v>2E-3</v>
      </c>
      <c r="X148" s="77"/>
      <c r="Y148" s="77">
        <v>2E-3</v>
      </c>
      <c r="Z148" s="77">
        <v>2E-3</v>
      </c>
      <c r="AA148" s="77">
        <v>2E-3</v>
      </c>
      <c r="AB148" s="77">
        <v>2E-3</v>
      </c>
      <c r="AD148" s="1" t="b">
        <f t="shared" si="63"/>
        <v>1</v>
      </c>
      <c r="AE148" s="77">
        <v>2E-3</v>
      </c>
      <c r="AF148" s="77">
        <v>2E-3</v>
      </c>
    </row>
    <row r="149" spans="1:32" x14ac:dyDescent="0.25">
      <c r="A149" s="23" t="s">
        <v>58</v>
      </c>
      <c r="B149" s="3" t="s">
        <v>468</v>
      </c>
      <c r="C149" s="2" t="s">
        <v>481</v>
      </c>
      <c r="D149" s="2" t="s">
        <v>523</v>
      </c>
      <c r="E149" s="24" t="s">
        <v>170</v>
      </c>
      <c r="F149" s="24" t="s">
        <v>199</v>
      </c>
      <c r="G149" s="46">
        <v>3.9999999999999998E-6</v>
      </c>
      <c r="H149" s="80">
        <v>3.9999999999999998E-6</v>
      </c>
      <c r="I149" s="80">
        <v>3.9999999999999998E-6</v>
      </c>
      <c r="J149" s="80">
        <v>3.9999999999999998E-6</v>
      </c>
      <c r="K149" s="80">
        <v>3.9999999999999998E-6</v>
      </c>
      <c r="L149" s="80"/>
      <c r="M149" s="80">
        <v>3.9999999999999998E-6</v>
      </c>
      <c r="N149" s="80">
        <v>3.9999999999999998E-6</v>
      </c>
      <c r="O149" s="80">
        <v>3.9999999999999998E-6</v>
      </c>
      <c r="P149" s="80">
        <v>3.9999999999999998E-6</v>
      </c>
      <c r="Q149" s="80">
        <v>3.9999999999999998E-6</v>
      </c>
      <c r="R149" s="80">
        <v>3.9999999999999998E-6</v>
      </c>
      <c r="S149" s="80">
        <v>3.9999999999999998E-6</v>
      </c>
      <c r="T149" s="80">
        <v>3.9999999999999998E-6</v>
      </c>
      <c r="U149" s="80">
        <v>3.9999999999999998E-6</v>
      </c>
      <c r="V149" s="80">
        <v>3.9999999999999998E-6</v>
      </c>
      <c r="W149" s="80">
        <v>3.9999999999999998E-6</v>
      </c>
      <c r="X149" s="80"/>
      <c r="Y149" s="80">
        <v>3.9999999999999998E-6</v>
      </c>
      <c r="Z149" s="80">
        <v>3.9999999999999998E-6</v>
      </c>
      <c r="AA149" s="80">
        <v>3.9999999999999998E-6</v>
      </c>
      <c r="AB149" s="80">
        <v>3.9999999999999998E-6</v>
      </c>
      <c r="AD149" s="1" t="b">
        <f t="shared" si="63"/>
        <v>1</v>
      </c>
      <c r="AE149" s="80">
        <v>3.9999999999999998E-6</v>
      </c>
      <c r="AF149" s="80">
        <v>3.9999999999999998E-6</v>
      </c>
    </row>
    <row r="150" spans="1:32" x14ac:dyDescent="0.25">
      <c r="A150" s="23" t="s">
        <v>71</v>
      </c>
      <c r="B150" s="3" t="s">
        <v>468</v>
      </c>
      <c r="C150" s="2" t="s">
        <v>481</v>
      </c>
      <c r="D150" s="2" t="s">
        <v>523</v>
      </c>
      <c r="E150" s="24" t="s">
        <v>184</v>
      </c>
      <c r="F150" s="24" t="s">
        <v>201</v>
      </c>
      <c r="G150" s="46">
        <v>3.7699999999999999E-10</v>
      </c>
      <c r="H150" s="80">
        <v>3.7699999999999999E-10</v>
      </c>
      <c r="I150" s="80">
        <v>3.7699999999999999E-10</v>
      </c>
      <c r="J150" s="80">
        <v>3.7699999999999999E-10</v>
      </c>
      <c r="K150" s="80">
        <v>3.7699999999999999E-10</v>
      </c>
      <c r="L150" s="80"/>
      <c r="M150" s="80">
        <v>3.7699999999999999E-10</v>
      </c>
      <c r="N150" s="80">
        <v>3.7699999999999999E-10</v>
      </c>
      <c r="O150" s="80">
        <v>3.7699999999999999E-10</v>
      </c>
      <c r="P150" s="80">
        <v>3.7699999999999999E-10</v>
      </c>
      <c r="Q150" s="80">
        <v>3.7699999999999999E-10</v>
      </c>
      <c r="R150" s="80">
        <v>3.7699999999999999E-10</v>
      </c>
      <c r="S150" s="80">
        <v>3.7699999999999999E-10</v>
      </c>
      <c r="T150" s="80">
        <v>3.7699999999999999E-10</v>
      </c>
      <c r="U150" s="80">
        <v>3.7699999999999999E-10</v>
      </c>
      <c r="V150" s="80">
        <v>3.7699999999999999E-10</v>
      </c>
      <c r="W150" s="80">
        <v>3.7699999999999999E-10</v>
      </c>
      <c r="X150" s="80"/>
      <c r="Y150" s="80">
        <v>3.7699999999999999E-10</v>
      </c>
      <c r="Z150" s="80">
        <v>3.7699999999999999E-10</v>
      </c>
      <c r="AA150" s="80">
        <v>3.7699999999999999E-10</v>
      </c>
      <c r="AB150" s="80">
        <v>3.7699999999999999E-10</v>
      </c>
      <c r="AD150" s="1" t="b">
        <f t="shared" si="63"/>
        <v>1</v>
      </c>
      <c r="AE150" s="80">
        <v>3.7699999999999999E-10</v>
      </c>
      <c r="AF150" s="80">
        <v>3.7699999999999999E-10</v>
      </c>
    </row>
    <row r="151" spans="1:32" x14ac:dyDescent="0.25">
      <c r="A151" s="23" t="s">
        <v>237</v>
      </c>
      <c r="B151" s="3" t="s">
        <v>468</v>
      </c>
      <c r="C151" s="2" t="s">
        <v>481</v>
      </c>
      <c r="D151" s="2" t="s">
        <v>523</v>
      </c>
      <c r="E151" s="24" t="s">
        <v>304</v>
      </c>
      <c r="F151" s="24" t="s">
        <v>110</v>
      </c>
      <c r="G151" s="46">
        <v>20</v>
      </c>
      <c r="H151" s="77">
        <v>20</v>
      </c>
      <c r="I151" s="77">
        <v>20</v>
      </c>
      <c r="J151" s="77">
        <v>20</v>
      </c>
      <c r="K151" s="77">
        <v>20</v>
      </c>
      <c r="L151" s="77"/>
      <c r="M151" s="77">
        <v>20</v>
      </c>
      <c r="N151" s="77">
        <v>20</v>
      </c>
      <c r="O151" s="77">
        <v>20</v>
      </c>
      <c r="P151" s="77">
        <v>20</v>
      </c>
      <c r="Q151" s="77">
        <v>20</v>
      </c>
      <c r="R151" s="77">
        <v>20</v>
      </c>
      <c r="S151" s="77">
        <v>20</v>
      </c>
      <c r="T151" s="77">
        <v>20</v>
      </c>
      <c r="U151" s="77">
        <v>20</v>
      </c>
      <c r="V151" s="77">
        <v>20</v>
      </c>
      <c r="W151" s="77">
        <v>20</v>
      </c>
      <c r="X151" s="77"/>
      <c r="Y151" s="77">
        <v>20</v>
      </c>
      <c r="Z151" s="77">
        <v>20</v>
      </c>
      <c r="AA151" s="77">
        <v>20</v>
      </c>
      <c r="AB151" s="77">
        <v>20</v>
      </c>
      <c r="AD151" s="1" t="b">
        <f t="shared" si="63"/>
        <v>1</v>
      </c>
      <c r="AE151" s="77">
        <v>20</v>
      </c>
      <c r="AF151" s="77">
        <v>20</v>
      </c>
    </row>
    <row r="152" spans="1:32" x14ac:dyDescent="0.25">
      <c r="A152" s="23" t="s">
        <v>238</v>
      </c>
      <c r="B152" s="3" t="s">
        <v>468</v>
      </c>
      <c r="C152" s="2" t="s">
        <v>481</v>
      </c>
      <c r="D152" s="2" t="s">
        <v>523</v>
      </c>
      <c r="E152" s="24" t="s">
        <v>305</v>
      </c>
      <c r="F152" s="24" t="s">
        <v>302</v>
      </c>
      <c r="G152" s="46">
        <v>-0.06</v>
      </c>
      <c r="H152" s="77">
        <v>-0.06</v>
      </c>
      <c r="I152" s="77">
        <v>-0.06</v>
      </c>
      <c r="J152" s="77">
        <v>-0.06</v>
      </c>
      <c r="K152" s="77">
        <v>-0.06</v>
      </c>
      <c r="L152" s="77"/>
      <c r="M152" s="77">
        <v>-0.06</v>
      </c>
      <c r="N152" s="77">
        <v>-0.06</v>
      </c>
      <c r="O152" s="77">
        <v>-0.06</v>
      </c>
      <c r="P152" s="77">
        <v>-0.06</v>
      </c>
      <c r="Q152" s="77">
        <v>-0.06</v>
      </c>
      <c r="R152" s="77">
        <v>-0.06</v>
      </c>
      <c r="S152" s="77">
        <v>-0.06</v>
      </c>
      <c r="T152" s="77">
        <v>-0.06</v>
      </c>
      <c r="U152" s="77">
        <v>-0.06</v>
      </c>
      <c r="V152" s="77">
        <v>-0.06</v>
      </c>
      <c r="W152" s="77">
        <v>-0.06</v>
      </c>
      <c r="X152" s="77"/>
      <c r="Y152" s="77">
        <v>-0.06</v>
      </c>
      <c r="Z152" s="77">
        <v>-0.06</v>
      </c>
      <c r="AA152" s="77">
        <v>-0.06</v>
      </c>
      <c r="AB152" s="77">
        <v>-0.06</v>
      </c>
      <c r="AD152" s="1" t="b">
        <f t="shared" si="63"/>
        <v>1</v>
      </c>
      <c r="AE152" s="77">
        <v>-0.06</v>
      </c>
      <c r="AF152" s="77">
        <v>-0.06</v>
      </c>
    </row>
    <row r="153" spans="1:32" x14ac:dyDescent="0.25">
      <c r="A153" s="23" t="s">
        <v>239</v>
      </c>
      <c r="B153" s="3" t="s">
        <v>468</v>
      </c>
      <c r="C153" s="2" t="s">
        <v>481</v>
      </c>
      <c r="D153" s="2" t="s">
        <v>523</v>
      </c>
      <c r="E153" s="24" t="s">
        <v>306</v>
      </c>
      <c r="F153" s="24" t="s">
        <v>101</v>
      </c>
      <c r="G153" s="46">
        <v>0.89100000000000001</v>
      </c>
      <c r="H153" s="77">
        <v>0.89100000000000001</v>
      </c>
      <c r="I153" s="77">
        <v>0.89100000000000001</v>
      </c>
      <c r="J153" s="77">
        <v>0.89100000000000001</v>
      </c>
      <c r="K153" s="77">
        <v>0.89100000000000001</v>
      </c>
      <c r="L153" s="77"/>
      <c r="M153" s="77">
        <v>0.89100000000000001</v>
      </c>
      <c r="N153" s="77">
        <v>0.89100000000000001</v>
      </c>
      <c r="O153" s="77">
        <v>0.89100000000000001</v>
      </c>
      <c r="P153" s="77">
        <v>0.89100000000000001</v>
      </c>
      <c r="Q153" s="77">
        <v>0.89100000000000001</v>
      </c>
      <c r="R153" s="77">
        <v>0.89100000000000001</v>
      </c>
      <c r="S153" s="77">
        <v>0.89100000000000001</v>
      </c>
      <c r="T153" s="77">
        <v>0.89100000000000001</v>
      </c>
      <c r="U153" s="77">
        <v>0.89100000000000001</v>
      </c>
      <c r="V153" s="77">
        <v>0.89100000000000001</v>
      </c>
      <c r="W153" s="77">
        <v>0.89100000000000001</v>
      </c>
      <c r="X153" s="77"/>
      <c r="Y153" s="77">
        <v>0.89100000000000001</v>
      </c>
      <c r="Z153" s="77">
        <v>0.89100000000000001</v>
      </c>
      <c r="AA153" s="77">
        <v>0.89100000000000001</v>
      </c>
      <c r="AB153" s="77">
        <v>0.89100000000000001</v>
      </c>
      <c r="AD153" s="1" t="b">
        <f t="shared" si="63"/>
        <v>1</v>
      </c>
      <c r="AE153" s="77">
        <v>0.89100000000000001</v>
      </c>
      <c r="AF153" s="77">
        <v>0.89100000000000001</v>
      </c>
    </row>
    <row r="154" spans="1:32" x14ac:dyDescent="0.25">
      <c r="A154" s="23" t="s">
        <v>240</v>
      </c>
      <c r="B154" s="3" t="s">
        <v>468</v>
      </c>
      <c r="C154" s="2" t="s">
        <v>481</v>
      </c>
      <c r="D154" s="2" t="s">
        <v>523</v>
      </c>
      <c r="E154" s="24" t="s">
        <v>307</v>
      </c>
      <c r="F154" s="24" t="s">
        <v>96</v>
      </c>
      <c r="G154" s="46">
        <v>1</v>
      </c>
      <c r="H154" s="77">
        <v>1</v>
      </c>
      <c r="I154" s="77">
        <v>1</v>
      </c>
      <c r="J154" s="77">
        <v>1</v>
      </c>
      <c r="K154" s="77">
        <v>1</v>
      </c>
      <c r="L154" s="77"/>
      <c r="M154" s="77">
        <v>1</v>
      </c>
      <c r="N154" s="77">
        <v>1</v>
      </c>
      <c r="O154" s="77">
        <v>1</v>
      </c>
      <c r="P154" s="77">
        <v>1</v>
      </c>
      <c r="Q154" s="77">
        <v>1</v>
      </c>
      <c r="R154" s="77">
        <v>1</v>
      </c>
      <c r="S154" s="77">
        <v>1</v>
      </c>
      <c r="T154" s="77">
        <v>1</v>
      </c>
      <c r="U154" s="77">
        <v>1</v>
      </c>
      <c r="V154" s="77">
        <v>1</v>
      </c>
      <c r="W154" s="77">
        <v>1</v>
      </c>
      <c r="X154" s="77"/>
      <c r="Y154" s="77">
        <v>1</v>
      </c>
      <c r="Z154" s="77">
        <v>1</v>
      </c>
      <c r="AA154" s="77">
        <v>1</v>
      </c>
      <c r="AB154" s="77">
        <v>1</v>
      </c>
      <c r="AD154" s="1" t="b">
        <f t="shared" si="63"/>
        <v>1</v>
      </c>
      <c r="AE154" s="77">
        <v>1</v>
      </c>
      <c r="AF154" s="77">
        <v>1</v>
      </c>
    </row>
    <row r="155" spans="1:32" x14ac:dyDescent="0.25">
      <c r="A155" s="23" t="s">
        <v>72</v>
      </c>
      <c r="B155" s="3" t="s">
        <v>468</v>
      </c>
      <c r="C155" s="2" t="s">
        <v>481</v>
      </c>
      <c r="D155" s="2" t="s">
        <v>523</v>
      </c>
      <c r="E155" s="24" t="s">
        <v>185</v>
      </c>
      <c r="F155" s="24" t="s">
        <v>199</v>
      </c>
      <c r="G155" s="46">
        <v>4.0000000000000003E-5</v>
      </c>
      <c r="H155" s="80">
        <v>4.0000000000000003E-5</v>
      </c>
      <c r="I155" s="80">
        <v>4.0000000000000003E-5</v>
      </c>
      <c r="J155" s="80">
        <v>4.0000000000000003E-5</v>
      </c>
      <c r="K155" s="80">
        <v>4.0000000000000003E-5</v>
      </c>
      <c r="L155" s="80"/>
      <c r="M155" s="80">
        <v>4.0000000000000003E-5</v>
      </c>
      <c r="N155" s="80">
        <v>4.0000000000000003E-5</v>
      </c>
      <c r="O155" s="80">
        <v>4.0000000000000003E-5</v>
      </c>
      <c r="P155" s="80">
        <v>4.0000000000000003E-5</v>
      </c>
      <c r="Q155" s="80">
        <v>4.0000000000000003E-5</v>
      </c>
      <c r="R155" s="80">
        <v>4.0000000000000003E-5</v>
      </c>
      <c r="S155" s="80">
        <v>4.0000000000000003E-5</v>
      </c>
      <c r="T155" s="80">
        <v>4.0000000000000003E-5</v>
      </c>
      <c r="U155" s="80">
        <v>4.0000000000000003E-5</v>
      </c>
      <c r="V155" s="80">
        <v>4.0000000000000003E-5</v>
      </c>
      <c r="W155" s="80">
        <v>4.0000000000000003E-5</v>
      </c>
      <c r="X155" s="80"/>
      <c r="Y155" s="80">
        <v>4.0000000000000003E-5</v>
      </c>
      <c r="Z155" s="80">
        <v>4.0000000000000003E-5</v>
      </c>
      <c r="AA155" s="80">
        <v>4.0000000000000003E-5</v>
      </c>
      <c r="AB155" s="80">
        <v>4.0000000000000003E-5</v>
      </c>
      <c r="AD155" s="1" t="b">
        <f t="shared" si="63"/>
        <v>1</v>
      </c>
      <c r="AE155" s="80">
        <v>4.0000000000000003E-5</v>
      </c>
      <c r="AF155" s="80">
        <v>4.0000000000000003E-5</v>
      </c>
    </row>
    <row r="156" spans="1:32" x14ac:dyDescent="0.25">
      <c r="A156" s="13" t="s">
        <v>73</v>
      </c>
      <c r="B156" s="3" t="s">
        <v>468</v>
      </c>
      <c r="C156" s="2" t="s">
        <v>481</v>
      </c>
      <c r="D156" s="2" t="s">
        <v>523</v>
      </c>
      <c r="E156" s="14" t="s">
        <v>187</v>
      </c>
      <c r="F156" s="14" t="s">
        <v>201</v>
      </c>
      <c r="G156" s="42">
        <v>5.8333333333333335E-9</v>
      </c>
      <c r="H156" s="80">
        <v>5.8333333333333335E-9</v>
      </c>
      <c r="I156" s="80">
        <v>5.8333333333333335E-9</v>
      </c>
      <c r="J156" s="80">
        <v>5.8333333333333335E-9</v>
      </c>
      <c r="K156" s="80">
        <v>5.8333333333333335E-9</v>
      </c>
      <c r="L156" s="80"/>
      <c r="M156" s="80">
        <v>5.8333333333333335E-9</v>
      </c>
      <c r="N156" s="80">
        <v>5.8333333333333335E-9</v>
      </c>
      <c r="O156" s="80">
        <v>5.8333333333333335E-9</v>
      </c>
      <c r="P156" s="80">
        <v>5.8333333333333335E-9</v>
      </c>
      <c r="Q156" s="80">
        <v>5.8333333333333335E-9</v>
      </c>
      <c r="R156" s="80">
        <v>5.8333333333333335E-9</v>
      </c>
      <c r="S156" s="80">
        <v>5.8333333333333335E-9</v>
      </c>
      <c r="T156" s="80">
        <v>5.8333333333333335E-9</v>
      </c>
      <c r="U156" s="80">
        <v>5.8333333333333335E-9</v>
      </c>
      <c r="V156" s="80">
        <v>5.8333333333333335E-9</v>
      </c>
      <c r="W156" s="80">
        <v>5.8333333333333335E-9</v>
      </c>
      <c r="X156" s="80"/>
      <c r="Y156" s="80">
        <v>5.8333333333333335E-9</v>
      </c>
      <c r="Z156" s="80">
        <v>5.8333333333333335E-9</v>
      </c>
      <c r="AA156" s="80">
        <v>5.8333333333333335E-9</v>
      </c>
      <c r="AB156" s="80">
        <v>5.8333333333333335E-9</v>
      </c>
      <c r="AD156" s="1" t="b">
        <f t="shared" si="63"/>
        <v>1</v>
      </c>
      <c r="AE156" s="80">
        <v>5.8333333333333335E-9</v>
      </c>
      <c r="AF156" s="80">
        <v>5.8333333333333335E-9</v>
      </c>
    </row>
    <row r="157" spans="1:32" x14ac:dyDescent="0.25">
      <c r="A157" s="13" t="s">
        <v>241</v>
      </c>
      <c r="B157" s="3" t="s">
        <v>468</v>
      </c>
      <c r="C157" s="2" t="s">
        <v>481</v>
      </c>
      <c r="D157" s="2" t="s">
        <v>523</v>
      </c>
      <c r="E157" s="14" t="s">
        <v>308</v>
      </c>
      <c r="F157" s="14" t="s">
        <v>110</v>
      </c>
      <c r="G157" s="50">
        <v>20</v>
      </c>
      <c r="H157" s="77">
        <v>20</v>
      </c>
      <c r="I157" s="77">
        <v>20</v>
      </c>
      <c r="J157" s="77">
        <v>20</v>
      </c>
      <c r="K157" s="77">
        <v>20</v>
      </c>
      <c r="L157" s="77"/>
      <c r="M157" s="77">
        <v>20</v>
      </c>
      <c r="N157" s="77">
        <v>20</v>
      </c>
      <c r="O157" s="77">
        <v>20</v>
      </c>
      <c r="P157" s="77">
        <v>20</v>
      </c>
      <c r="Q157" s="77">
        <v>20</v>
      </c>
      <c r="R157" s="77">
        <v>20</v>
      </c>
      <c r="S157" s="77">
        <v>20</v>
      </c>
      <c r="T157" s="77">
        <v>20</v>
      </c>
      <c r="U157" s="77">
        <v>20</v>
      </c>
      <c r="V157" s="77">
        <v>20</v>
      </c>
      <c r="W157" s="77">
        <v>20</v>
      </c>
      <c r="X157" s="77"/>
      <c r="Y157" s="77">
        <v>20</v>
      </c>
      <c r="Z157" s="77">
        <v>20</v>
      </c>
      <c r="AA157" s="77">
        <v>20</v>
      </c>
      <c r="AB157" s="77">
        <v>20</v>
      </c>
      <c r="AD157" s="1" t="b">
        <f t="shared" si="63"/>
        <v>1</v>
      </c>
      <c r="AE157" s="77">
        <v>20</v>
      </c>
      <c r="AF157" s="77">
        <v>20</v>
      </c>
    </row>
    <row r="158" spans="1:32" x14ac:dyDescent="0.25">
      <c r="A158" s="13" t="s">
        <v>242</v>
      </c>
      <c r="B158" s="3" t="s">
        <v>468</v>
      </c>
      <c r="C158" s="2" t="s">
        <v>481</v>
      </c>
      <c r="D158" s="2" t="s">
        <v>523</v>
      </c>
      <c r="E158" s="14" t="s">
        <v>309</v>
      </c>
      <c r="F158" s="14" t="s">
        <v>302</v>
      </c>
      <c r="G158" s="50">
        <v>-0.06</v>
      </c>
      <c r="H158" s="77">
        <v>-0.06</v>
      </c>
      <c r="I158" s="77">
        <v>-0.06</v>
      </c>
      <c r="J158" s="77">
        <v>-0.06</v>
      </c>
      <c r="K158" s="77">
        <v>-0.06</v>
      </c>
      <c r="L158" s="77"/>
      <c r="M158" s="77">
        <v>-0.06</v>
      </c>
      <c r="N158" s="77">
        <v>-0.06</v>
      </c>
      <c r="O158" s="77">
        <v>-0.06</v>
      </c>
      <c r="P158" s="77">
        <v>-0.06</v>
      </c>
      <c r="Q158" s="77">
        <v>-0.06</v>
      </c>
      <c r="R158" s="77">
        <v>-0.06</v>
      </c>
      <c r="S158" s="77">
        <v>-0.06</v>
      </c>
      <c r="T158" s="77">
        <v>-0.06</v>
      </c>
      <c r="U158" s="77">
        <v>-0.06</v>
      </c>
      <c r="V158" s="77">
        <v>-0.06</v>
      </c>
      <c r="W158" s="77">
        <v>-0.06</v>
      </c>
      <c r="X158" s="77"/>
      <c r="Y158" s="77">
        <v>-0.06</v>
      </c>
      <c r="Z158" s="77">
        <v>-0.06</v>
      </c>
      <c r="AA158" s="77">
        <v>-0.06</v>
      </c>
      <c r="AB158" s="77">
        <v>-0.06</v>
      </c>
      <c r="AD158" s="1" t="b">
        <f t="shared" si="63"/>
        <v>1</v>
      </c>
      <c r="AE158" s="77">
        <v>-0.06</v>
      </c>
      <c r="AF158" s="77">
        <v>-0.06</v>
      </c>
    </row>
    <row r="159" spans="1:32" x14ac:dyDescent="0.25">
      <c r="A159" s="13" t="s">
        <v>243</v>
      </c>
      <c r="B159" s="3" t="s">
        <v>468</v>
      </c>
      <c r="C159" s="2" t="s">
        <v>481</v>
      </c>
      <c r="D159" s="2" t="s">
        <v>523</v>
      </c>
      <c r="E159" s="14" t="s">
        <v>310</v>
      </c>
      <c r="F159" s="14" t="s">
        <v>101</v>
      </c>
      <c r="G159" s="50">
        <v>0.89100000000000001</v>
      </c>
      <c r="H159" s="77">
        <v>0.89100000000000001</v>
      </c>
      <c r="I159" s="77">
        <v>0.89100000000000001</v>
      </c>
      <c r="J159" s="77">
        <v>0.89100000000000001</v>
      </c>
      <c r="K159" s="77">
        <v>0.89100000000000001</v>
      </c>
      <c r="L159" s="77"/>
      <c r="M159" s="77">
        <v>0.89100000000000001</v>
      </c>
      <c r="N159" s="77">
        <v>0.89100000000000001</v>
      </c>
      <c r="O159" s="77">
        <v>0.89100000000000001</v>
      </c>
      <c r="P159" s="77">
        <v>0.89100000000000001</v>
      </c>
      <c r="Q159" s="77">
        <v>0.89100000000000001</v>
      </c>
      <c r="R159" s="77">
        <v>0.89100000000000001</v>
      </c>
      <c r="S159" s="77">
        <v>0.89100000000000001</v>
      </c>
      <c r="T159" s="77">
        <v>0.89100000000000001</v>
      </c>
      <c r="U159" s="77">
        <v>0.89100000000000001</v>
      </c>
      <c r="V159" s="77">
        <v>0.89100000000000001</v>
      </c>
      <c r="W159" s="77">
        <v>0.89100000000000001</v>
      </c>
      <c r="X159" s="77"/>
      <c r="Y159" s="77">
        <v>0.89100000000000001</v>
      </c>
      <c r="Z159" s="77">
        <v>0.89100000000000001</v>
      </c>
      <c r="AA159" s="77">
        <v>0.89100000000000001</v>
      </c>
      <c r="AB159" s="77">
        <v>0.89100000000000001</v>
      </c>
      <c r="AD159" s="1" t="b">
        <f t="shared" si="63"/>
        <v>1</v>
      </c>
      <c r="AE159" s="77">
        <v>0.89100000000000001</v>
      </c>
      <c r="AF159" s="77">
        <v>0.89100000000000001</v>
      </c>
    </row>
    <row r="160" spans="1:32" x14ac:dyDescent="0.25">
      <c r="A160" s="13" t="s">
        <v>244</v>
      </c>
      <c r="B160" s="3" t="s">
        <v>468</v>
      </c>
      <c r="C160" s="2" t="s">
        <v>481</v>
      </c>
      <c r="D160" s="2" t="s">
        <v>523</v>
      </c>
      <c r="E160" s="14" t="s">
        <v>311</v>
      </c>
      <c r="F160" s="14" t="s">
        <v>96</v>
      </c>
      <c r="G160" s="50">
        <v>1</v>
      </c>
      <c r="H160" s="77">
        <v>1</v>
      </c>
      <c r="I160" s="77">
        <v>1</v>
      </c>
      <c r="J160" s="77">
        <v>1</v>
      </c>
      <c r="K160" s="77">
        <v>1</v>
      </c>
      <c r="L160" s="77"/>
      <c r="M160" s="77">
        <v>1</v>
      </c>
      <c r="N160" s="77">
        <v>1</v>
      </c>
      <c r="O160" s="77">
        <v>1</v>
      </c>
      <c r="P160" s="77">
        <v>1</v>
      </c>
      <c r="Q160" s="77">
        <v>1</v>
      </c>
      <c r="R160" s="77">
        <v>1</v>
      </c>
      <c r="S160" s="77">
        <v>1</v>
      </c>
      <c r="T160" s="77">
        <v>1</v>
      </c>
      <c r="U160" s="77">
        <v>1</v>
      </c>
      <c r="V160" s="77">
        <v>1</v>
      </c>
      <c r="W160" s="77">
        <v>1</v>
      </c>
      <c r="X160" s="77"/>
      <c r="Y160" s="77">
        <v>1</v>
      </c>
      <c r="Z160" s="77">
        <v>1</v>
      </c>
      <c r="AA160" s="77">
        <v>1</v>
      </c>
      <c r="AB160" s="77">
        <v>1</v>
      </c>
      <c r="AD160" s="1" t="b">
        <f t="shared" si="63"/>
        <v>1</v>
      </c>
      <c r="AE160" s="77">
        <v>1</v>
      </c>
      <c r="AF160" s="77">
        <v>1</v>
      </c>
    </row>
    <row r="161" spans="1:32" x14ac:dyDescent="0.25">
      <c r="A161" s="13" t="s">
        <v>74</v>
      </c>
      <c r="B161" s="3" t="s">
        <v>468</v>
      </c>
      <c r="C161" s="2" t="s">
        <v>481</v>
      </c>
      <c r="D161" s="2" t="s">
        <v>523</v>
      </c>
      <c r="E161" s="14" t="s">
        <v>186</v>
      </c>
      <c r="F161" s="14" t="s">
        <v>199</v>
      </c>
      <c r="G161" s="50">
        <v>4.0000000000000003E-5</v>
      </c>
      <c r="H161" s="80">
        <v>4.0000000000000003E-5</v>
      </c>
      <c r="I161" s="80">
        <v>4.0000000000000003E-5</v>
      </c>
      <c r="J161" s="80">
        <v>4.0000000000000003E-5</v>
      </c>
      <c r="K161" s="80">
        <v>4.0000000000000003E-5</v>
      </c>
      <c r="L161" s="80"/>
      <c r="M161" s="80">
        <v>4.0000000000000003E-5</v>
      </c>
      <c r="N161" s="80">
        <v>4.0000000000000003E-5</v>
      </c>
      <c r="O161" s="80">
        <v>4.0000000000000003E-5</v>
      </c>
      <c r="P161" s="80">
        <v>4.0000000000000003E-5</v>
      </c>
      <c r="Q161" s="80">
        <v>4.0000000000000003E-5</v>
      </c>
      <c r="R161" s="80">
        <v>4.0000000000000003E-5</v>
      </c>
      <c r="S161" s="80">
        <v>4.0000000000000003E-5</v>
      </c>
      <c r="T161" s="80">
        <v>4.0000000000000003E-5</v>
      </c>
      <c r="U161" s="80">
        <v>4.0000000000000003E-5</v>
      </c>
      <c r="V161" s="80">
        <v>4.0000000000000003E-5</v>
      </c>
      <c r="W161" s="80">
        <v>4.0000000000000003E-5</v>
      </c>
      <c r="X161" s="80"/>
      <c r="Y161" s="80">
        <v>4.0000000000000003E-5</v>
      </c>
      <c r="Z161" s="80">
        <v>4.0000000000000003E-5</v>
      </c>
      <c r="AA161" s="80">
        <v>4.0000000000000003E-5</v>
      </c>
      <c r="AB161" s="80">
        <v>4.0000000000000003E-5</v>
      </c>
      <c r="AD161" s="1" t="b">
        <f t="shared" si="63"/>
        <v>1</v>
      </c>
      <c r="AE161" s="80">
        <v>4.0000000000000003E-5</v>
      </c>
      <c r="AF161" s="80">
        <v>4.0000000000000003E-5</v>
      </c>
    </row>
    <row r="162" spans="1:32" x14ac:dyDescent="0.25">
      <c r="A162" s="9" t="s">
        <v>75</v>
      </c>
      <c r="B162" s="3" t="s">
        <v>468</v>
      </c>
      <c r="C162" s="2" t="s">
        <v>481</v>
      </c>
      <c r="D162" s="2" t="s">
        <v>523</v>
      </c>
      <c r="E162" s="10" t="s">
        <v>188</v>
      </c>
      <c r="F162" s="10" t="s">
        <v>201</v>
      </c>
      <c r="G162" s="41">
        <v>4.9999999999999998E-8</v>
      </c>
      <c r="H162" s="83">
        <v>4.0000000000000001E-8</v>
      </c>
      <c r="I162" s="83">
        <v>4.0000000000000001E-8</v>
      </c>
      <c r="J162" s="83">
        <v>4.0000000000000001E-8</v>
      </c>
      <c r="K162" s="83">
        <v>4.0000000000000001E-8</v>
      </c>
      <c r="L162" s="83"/>
      <c r="M162" s="83">
        <v>4.0000000000000001E-8</v>
      </c>
      <c r="N162" s="83">
        <v>4.0000000000000001E-8</v>
      </c>
      <c r="O162" s="83">
        <v>4.0000000000000001E-8</v>
      </c>
      <c r="P162" s="83">
        <v>4.0000000000000001E-8</v>
      </c>
      <c r="Q162" s="83">
        <v>4.0000000000000001E-8</v>
      </c>
      <c r="R162" s="83">
        <v>4.0000000000000001E-8</v>
      </c>
      <c r="S162" s="83">
        <v>4.0000000000000001E-8</v>
      </c>
      <c r="T162" s="83">
        <v>4.0000000000000001E-8</v>
      </c>
      <c r="U162" s="83">
        <v>4.0000000000000001E-8</v>
      </c>
      <c r="V162" s="83">
        <v>4.0000000000000001E-8</v>
      </c>
      <c r="W162" s="83">
        <v>4.0000000000000001E-8</v>
      </c>
      <c r="X162" s="83"/>
      <c r="Y162" s="83">
        <v>4.0000000000000001E-8</v>
      </c>
      <c r="Z162" s="83">
        <v>4.0000000000000001E-8</v>
      </c>
      <c r="AA162" s="83">
        <v>4.0000000000000001E-8</v>
      </c>
      <c r="AB162" s="83">
        <v>4.0000000000000001E-8</v>
      </c>
      <c r="AD162" s="1" t="b">
        <f t="shared" si="63"/>
        <v>1</v>
      </c>
      <c r="AE162" s="83">
        <v>4.0000000000000001E-8</v>
      </c>
      <c r="AF162" s="83">
        <v>4.0000000000000001E-8</v>
      </c>
    </row>
    <row r="163" spans="1:32" x14ac:dyDescent="0.25">
      <c r="A163" s="9" t="s">
        <v>219</v>
      </c>
      <c r="B163" s="3" t="s">
        <v>468</v>
      </c>
      <c r="C163" s="2" t="s">
        <v>481</v>
      </c>
      <c r="D163" s="2" t="s">
        <v>523</v>
      </c>
      <c r="E163" s="10" t="s">
        <v>299</v>
      </c>
      <c r="F163" s="10" t="s">
        <v>110</v>
      </c>
      <c r="G163" s="52">
        <v>20</v>
      </c>
      <c r="H163" s="77">
        <v>20</v>
      </c>
      <c r="I163" s="77">
        <v>20</v>
      </c>
      <c r="J163" s="77">
        <v>20</v>
      </c>
      <c r="K163" s="77">
        <v>20</v>
      </c>
      <c r="L163" s="77"/>
      <c r="M163" s="77">
        <v>20</v>
      </c>
      <c r="N163" s="77">
        <v>20</v>
      </c>
      <c r="O163" s="77">
        <v>20</v>
      </c>
      <c r="P163" s="77">
        <v>20</v>
      </c>
      <c r="Q163" s="77">
        <v>20</v>
      </c>
      <c r="R163" s="77">
        <v>20</v>
      </c>
      <c r="S163" s="77">
        <v>20</v>
      </c>
      <c r="T163" s="77">
        <v>20</v>
      </c>
      <c r="U163" s="77">
        <v>20</v>
      </c>
      <c r="V163" s="77">
        <v>20</v>
      </c>
      <c r="W163" s="77">
        <v>20</v>
      </c>
      <c r="X163" s="77"/>
      <c r="Y163" s="77">
        <v>20</v>
      </c>
      <c r="Z163" s="77">
        <v>20</v>
      </c>
      <c r="AA163" s="77">
        <v>20</v>
      </c>
      <c r="AB163" s="77">
        <v>20</v>
      </c>
      <c r="AD163" s="1" t="b">
        <f t="shared" si="63"/>
        <v>1</v>
      </c>
      <c r="AE163" s="77">
        <v>20</v>
      </c>
      <c r="AF163" s="77">
        <v>20</v>
      </c>
    </row>
    <row r="164" spans="1:32" x14ac:dyDescent="0.25">
      <c r="A164" s="9" t="s">
        <v>220</v>
      </c>
      <c r="B164" s="3" t="s">
        <v>468</v>
      </c>
      <c r="C164" s="2" t="s">
        <v>481</v>
      </c>
      <c r="D164" s="2" t="s">
        <v>523</v>
      </c>
      <c r="E164" s="10" t="s">
        <v>300</v>
      </c>
      <c r="F164" s="10" t="s">
        <v>302</v>
      </c>
      <c r="G164" s="52">
        <v>-4.4200000000000003E-2</v>
      </c>
      <c r="H164" s="77">
        <v>-4.4200000000000003E-2</v>
      </c>
      <c r="I164" s="77">
        <v>-4.4200000000000003E-2</v>
      </c>
      <c r="J164" s="77">
        <v>-4.4200000000000003E-2</v>
      </c>
      <c r="K164" s="77">
        <v>-4.4200000000000003E-2</v>
      </c>
      <c r="L164" s="77"/>
      <c r="M164" s="77">
        <v>-4.4200000000000003E-2</v>
      </c>
      <c r="N164" s="77">
        <v>-4.4200000000000003E-2</v>
      </c>
      <c r="O164" s="77">
        <v>-4.4200000000000003E-2</v>
      </c>
      <c r="P164" s="77">
        <v>-4.4200000000000003E-2</v>
      </c>
      <c r="Q164" s="77">
        <v>-4.4200000000000003E-2</v>
      </c>
      <c r="R164" s="77">
        <v>-4.4200000000000003E-2</v>
      </c>
      <c r="S164" s="77">
        <v>-4.4200000000000003E-2</v>
      </c>
      <c r="T164" s="77">
        <v>-4.4200000000000003E-2</v>
      </c>
      <c r="U164" s="77">
        <v>-4.4200000000000003E-2</v>
      </c>
      <c r="V164" s="77">
        <v>-4.4200000000000003E-2</v>
      </c>
      <c r="W164" s="77">
        <v>-4.4200000000000003E-2</v>
      </c>
      <c r="X164" s="77"/>
      <c r="Y164" s="77">
        <v>-4.4200000000000003E-2</v>
      </c>
      <c r="Z164" s="77">
        <v>-4.4200000000000003E-2</v>
      </c>
      <c r="AA164" s="77">
        <v>-4.4200000000000003E-2</v>
      </c>
      <c r="AB164" s="77">
        <v>-4.4200000000000003E-2</v>
      </c>
      <c r="AD164" s="1" t="b">
        <f t="shared" si="63"/>
        <v>1</v>
      </c>
      <c r="AE164" s="77">
        <v>-4.4200000000000003E-2</v>
      </c>
      <c r="AF164" s="77">
        <v>-4.4200000000000003E-2</v>
      </c>
    </row>
    <row r="165" spans="1:32" x14ac:dyDescent="0.25">
      <c r="A165" s="9" t="s">
        <v>221</v>
      </c>
      <c r="B165" s="3" t="s">
        <v>468</v>
      </c>
      <c r="C165" s="2" t="s">
        <v>481</v>
      </c>
      <c r="D165" s="2" t="s">
        <v>523</v>
      </c>
      <c r="E165" s="10" t="s">
        <v>301</v>
      </c>
      <c r="F165" s="10" t="s">
        <v>101</v>
      </c>
      <c r="G165" s="52">
        <v>1.55</v>
      </c>
      <c r="H165" s="77">
        <v>1.55</v>
      </c>
      <c r="I165" s="77">
        <v>1.55</v>
      </c>
      <c r="J165" s="77">
        <v>1.55</v>
      </c>
      <c r="K165" s="77">
        <v>1.55</v>
      </c>
      <c r="L165" s="77"/>
      <c r="M165" s="77">
        <v>1.55</v>
      </c>
      <c r="N165" s="77">
        <v>1.55</v>
      </c>
      <c r="O165" s="77">
        <v>1.55</v>
      </c>
      <c r="P165" s="77">
        <v>1.55</v>
      </c>
      <c r="Q165" s="77">
        <v>1.55</v>
      </c>
      <c r="R165" s="77">
        <v>1.55</v>
      </c>
      <c r="S165" s="77">
        <v>1.55</v>
      </c>
      <c r="T165" s="77">
        <v>1.55</v>
      </c>
      <c r="U165" s="77">
        <v>1.55</v>
      </c>
      <c r="V165" s="77">
        <v>1.55</v>
      </c>
      <c r="W165" s="77">
        <v>1.55</v>
      </c>
      <c r="X165" s="77"/>
      <c r="Y165" s="77">
        <v>1.55</v>
      </c>
      <c r="Z165" s="77">
        <v>1.55</v>
      </c>
      <c r="AA165" s="77">
        <v>1.55</v>
      </c>
      <c r="AB165" s="77">
        <v>1.55</v>
      </c>
      <c r="AD165" s="1" t="b">
        <f t="shared" si="63"/>
        <v>1</v>
      </c>
      <c r="AE165" s="77">
        <v>1.55</v>
      </c>
      <c r="AF165" s="77">
        <v>1.55</v>
      </c>
    </row>
    <row r="166" spans="1:32" x14ac:dyDescent="0.25">
      <c r="A166" s="9" t="s">
        <v>222</v>
      </c>
      <c r="B166" s="3" t="s">
        <v>468</v>
      </c>
      <c r="C166" s="2" t="s">
        <v>481</v>
      </c>
      <c r="D166" s="2" t="s">
        <v>523</v>
      </c>
      <c r="E166" s="10" t="s">
        <v>303</v>
      </c>
      <c r="F166" s="10" t="s">
        <v>96</v>
      </c>
      <c r="G166" s="52">
        <v>1</v>
      </c>
      <c r="H166" s="77">
        <v>1</v>
      </c>
      <c r="I166" s="77">
        <v>1</v>
      </c>
      <c r="J166" s="77">
        <v>1</v>
      </c>
      <c r="K166" s="77">
        <v>1</v>
      </c>
      <c r="L166" s="77"/>
      <c r="M166" s="77">
        <v>1</v>
      </c>
      <c r="N166" s="77">
        <v>1</v>
      </c>
      <c r="O166" s="77">
        <v>1</v>
      </c>
      <c r="P166" s="77">
        <v>1</v>
      </c>
      <c r="Q166" s="77">
        <v>1</v>
      </c>
      <c r="R166" s="77">
        <v>1</v>
      </c>
      <c r="S166" s="77">
        <v>1</v>
      </c>
      <c r="T166" s="77">
        <v>1</v>
      </c>
      <c r="U166" s="77">
        <v>1</v>
      </c>
      <c r="V166" s="77">
        <v>1</v>
      </c>
      <c r="W166" s="77">
        <v>1</v>
      </c>
      <c r="X166" s="77"/>
      <c r="Y166" s="77">
        <v>1</v>
      </c>
      <c r="Z166" s="77">
        <v>1</v>
      </c>
      <c r="AA166" s="77">
        <v>1</v>
      </c>
      <c r="AB166" s="77">
        <v>1</v>
      </c>
      <c r="AD166" s="1" t="b">
        <f t="shared" si="63"/>
        <v>1</v>
      </c>
      <c r="AE166" s="77">
        <v>1</v>
      </c>
      <c r="AF166" s="77">
        <v>1</v>
      </c>
    </row>
    <row r="167" spans="1:32" x14ac:dyDescent="0.25">
      <c r="A167" s="9" t="s">
        <v>76</v>
      </c>
      <c r="B167" s="3" t="s">
        <v>468</v>
      </c>
      <c r="C167" s="2" t="s">
        <v>481</v>
      </c>
      <c r="D167" s="2" t="s">
        <v>523</v>
      </c>
      <c r="E167" s="10" t="s">
        <v>189</v>
      </c>
      <c r="F167" s="10" t="s">
        <v>199</v>
      </c>
      <c r="G167" s="52">
        <v>2.7799999999999998E-4</v>
      </c>
      <c r="H167" s="77">
        <v>2.7799999999999998E-4</v>
      </c>
      <c r="I167" s="77">
        <v>2.7799999999999998E-4</v>
      </c>
      <c r="J167" s="77">
        <v>2.7799999999999998E-4</v>
      </c>
      <c r="K167" s="77">
        <v>2.7799999999999998E-4</v>
      </c>
      <c r="L167" s="77"/>
      <c r="M167" s="77">
        <v>2.7799999999999998E-4</v>
      </c>
      <c r="N167" s="77">
        <v>2.7799999999999998E-4</v>
      </c>
      <c r="O167" s="77">
        <v>2.7799999999999998E-4</v>
      </c>
      <c r="P167" s="77">
        <v>2.7799999999999998E-4</v>
      </c>
      <c r="Q167" s="77">
        <v>2.7799999999999998E-4</v>
      </c>
      <c r="R167" s="77">
        <v>2.7799999999999998E-4</v>
      </c>
      <c r="S167" s="77">
        <v>2.7799999999999998E-4</v>
      </c>
      <c r="T167" s="77">
        <v>2.7799999999999998E-4</v>
      </c>
      <c r="U167" s="77">
        <v>2.7799999999999998E-4</v>
      </c>
      <c r="V167" s="77">
        <v>2.7799999999999998E-4</v>
      </c>
      <c r="W167" s="77">
        <v>2.7799999999999998E-4</v>
      </c>
      <c r="X167" s="77"/>
      <c r="Y167" s="77">
        <v>2.7799999999999998E-4</v>
      </c>
      <c r="Z167" s="77">
        <v>2.7799999999999998E-4</v>
      </c>
      <c r="AA167" s="77">
        <v>2.7799999999999998E-4</v>
      </c>
      <c r="AB167" s="77">
        <v>2.7799999999999998E-4</v>
      </c>
      <c r="AD167" s="1" t="b">
        <f t="shared" si="63"/>
        <v>1</v>
      </c>
      <c r="AE167" s="77">
        <v>2.7799999999999998E-4</v>
      </c>
      <c r="AF167" s="77">
        <v>2.7799999999999998E-4</v>
      </c>
    </row>
    <row r="168" spans="1:32" x14ac:dyDescent="0.25">
      <c r="A168" s="25" t="s">
        <v>78</v>
      </c>
      <c r="B168" s="3" t="s">
        <v>468</v>
      </c>
      <c r="C168" s="2" t="s">
        <v>481</v>
      </c>
      <c r="D168" s="2" t="s">
        <v>523</v>
      </c>
      <c r="E168" s="26" t="s">
        <v>190</v>
      </c>
      <c r="F168" s="26" t="s">
        <v>202</v>
      </c>
      <c r="G168" s="99">
        <v>4.7300000000000001E-7</v>
      </c>
      <c r="H168" s="84">
        <v>2.4999999999999998E-12</v>
      </c>
      <c r="I168" s="84">
        <v>2.4999999999999998E-12</v>
      </c>
      <c r="J168" s="84">
        <v>2.4999999999999998E-12</v>
      </c>
      <c r="K168" s="84">
        <v>2.4999999999999998E-12</v>
      </c>
      <c r="L168" s="84"/>
      <c r="M168" s="84">
        <v>2.4999999999999998E-12</v>
      </c>
      <c r="N168" s="84">
        <v>2.4999999999999998E-12</v>
      </c>
      <c r="O168" s="84">
        <v>2.4999999999999998E-12</v>
      </c>
      <c r="P168" s="84">
        <v>2.4999999999999998E-12</v>
      </c>
      <c r="Q168" s="84">
        <v>2.4999999999999998E-12</v>
      </c>
      <c r="R168" s="84">
        <v>2.4999999999999998E-12</v>
      </c>
      <c r="S168" s="84">
        <v>2.4999999999999998E-12</v>
      </c>
      <c r="T168" s="84">
        <v>2.4999999999999998E-12</v>
      </c>
      <c r="U168" s="84">
        <v>2.4999999999999998E-12</v>
      </c>
      <c r="V168" s="84">
        <v>2.4999999999999998E-12</v>
      </c>
      <c r="W168" s="84">
        <v>2.4999999999999998E-12</v>
      </c>
      <c r="X168" s="84"/>
      <c r="Y168" s="84">
        <v>2.4999999999999998E-12</v>
      </c>
      <c r="Z168" s="84">
        <v>2.4999999999999998E-12</v>
      </c>
      <c r="AA168" s="84">
        <v>2.4999999999999998E-12</v>
      </c>
      <c r="AB168" s="84">
        <v>2.4999999999999998E-12</v>
      </c>
      <c r="AD168" s="1" t="b">
        <f t="shared" si="63"/>
        <v>1</v>
      </c>
      <c r="AE168" s="84">
        <v>2.4999999999999998E-12</v>
      </c>
      <c r="AF168" s="84">
        <v>2.4999999999999998E-12</v>
      </c>
    </row>
    <row r="169" spans="1:32" x14ac:dyDescent="0.25">
      <c r="A169" s="25" t="s">
        <v>246</v>
      </c>
      <c r="B169" s="3" t="s">
        <v>468</v>
      </c>
      <c r="C169" s="2" t="s">
        <v>481</v>
      </c>
      <c r="D169" s="2" t="s">
        <v>523</v>
      </c>
      <c r="E169" s="26" t="s">
        <v>320</v>
      </c>
      <c r="F169" s="26" t="s">
        <v>110</v>
      </c>
      <c r="G169" s="62">
        <v>20</v>
      </c>
      <c r="H169" s="77">
        <v>20</v>
      </c>
      <c r="I169" s="77">
        <v>20</v>
      </c>
      <c r="J169" s="77">
        <v>20</v>
      </c>
      <c r="K169" s="77">
        <v>20</v>
      </c>
      <c r="L169" s="77"/>
      <c r="M169" s="77">
        <v>20</v>
      </c>
      <c r="N169" s="77">
        <v>20</v>
      </c>
      <c r="O169" s="77">
        <v>20</v>
      </c>
      <c r="P169" s="77">
        <v>20</v>
      </c>
      <c r="Q169" s="77">
        <v>20</v>
      </c>
      <c r="R169" s="77">
        <v>20</v>
      </c>
      <c r="S169" s="77">
        <v>20</v>
      </c>
      <c r="T169" s="77">
        <v>20</v>
      </c>
      <c r="U169" s="77">
        <v>20</v>
      </c>
      <c r="V169" s="77">
        <v>20</v>
      </c>
      <c r="W169" s="77">
        <v>20</v>
      </c>
      <c r="X169" s="77"/>
      <c r="Y169" s="77">
        <v>20</v>
      </c>
      <c r="Z169" s="77">
        <v>20</v>
      </c>
      <c r="AA169" s="77">
        <v>20</v>
      </c>
      <c r="AB169" s="77">
        <v>20</v>
      </c>
      <c r="AD169" s="1" t="b">
        <f t="shared" si="63"/>
        <v>1</v>
      </c>
      <c r="AE169" s="77">
        <v>20</v>
      </c>
      <c r="AF169" s="77">
        <v>20</v>
      </c>
    </row>
    <row r="170" spans="1:32" x14ac:dyDescent="0.25">
      <c r="A170" s="25" t="s">
        <v>247</v>
      </c>
      <c r="B170" s="3" t="s">
        <v>468</v>
      </c>
      <c r="C170" s="2" t="s">
        <v>481</v>
      </c>
      <c r="D170" s="2" t="s">
        <v>523</v>
      </c>
      <c r="E170" s="26" t="s">
        <v>321</v>
      </c>
      <c r="F170" s="26" t="s">
        <v>302</v>
      </c>
      <c r="G170" s="62">
        <v>0</v>
      </c>
      <c r="H170" s="77">
        <v>0</v>
      </c>
      <c r="I170" s="77">
        <v>0</v>
      </c>
      <c r="J170" s="77">
        <v>0</v>
      </c>
      <c r="K170" s="77">
        <v>0</v>
      </c>
      <c r="L170" s="77"/>
      <c r="M170" s="77">
        <v>0</v>
      </c>
      <c r="N170" s="77">
        <v>0</v>
      </c>
      <c r="O170" s="77">
        <v>0</v>
      </c>
      <c r="P170" s="77">
        <v>0</v>
      </c>
      <c r="Q170" s="77">
        <v>0</v>
      </c>
      <c r="R170" s="77">
        <v>0</v>
      </c>
      <c r="S170" s="77">
        <v>0</v>
      </c>
      <c r="T170" s="77">
        <v>0</v>
      </c>
      <c r="U170" s="77">
        <v>0</v>
      </c>
      <c r="V170" s="77">
        <v>0</v>
      </c>
      <c r="W170" s="77">
        <v>0</v>
      </c>
      <c r="X170" s="77"/>
      <c r="Y170" s="77">
        <v>0</v>
      </c>
      <c r="Z170" s="77">
        <v>0</v>
      </c>
      <c r="AA170" s="77">
        <v>0</v>
      </c>
      <c r="AB170" s="77">
        <v>0</v>
      </c>
      <c r="AD170" s="1" t="b">
        <f t="shared" si="63"/>
        <v>1</v>
      </c>
      <c r="AE170" s="77">
        <v>0</v>
      </c>
      <c r="AF170" s="77">
        <v>0</v>
      </c>
    </row>
    <row r="171" spans="1:32" x14ac:dyDescent="0.25">
      <c r="A171" s="25" t="s">
        <v>248</v>
      </c>
      <c r="B171" s="3" t="s">
        <v>468</v>
      </c>
      <c r="C171" s="2" t="s">
        <v>481</v>
      </c>
      <c r="D171" s="2" t="s">
        <v>523</v>
      </c>
      <c r="E171" s="26" t="s">
        <v>322</v>
      </c>
      <c r="F171" s="26" t="s">
        <v>101</v>
      </c>
      <c r="G171" s="62">
        <v>1</v>
      </c>
      <c r="H171" s="77">
        <v>1</v>
      </c>
      <c r="I171" s="77">
        <v>1</v>
      </c>
      <c r="J171" s="77">
        <v>1</v>
      </c>
      <c r="K171" s="77">
        <v>1</v>
      </c>
      <c r="L171" s="77"/>
      <c r="M171" s="77">
        <v>1</v>
      </c>
      <c r="N171" s="77">
        <v>1</v>
      </c>
      <c r="O171" s="77">
        <v>1</v>
      </c>
      <c r="P171" s="77">
        <v>1</v>
      </c>
      <c r="Q171" s="77">
        <v>1</v>
      </c>
      <c r="R171" s="77">
        <v>1</v>
      </c>
      <c r="S171" s="77">
        <v>1</v>
      </c>
      <c r="T171" s="77">
        <v>1</v>
      </c>
      <c r="U171" s="77">
        <v>1</v>
      </c>
      <c r="V171" s="77">
        <v>1</v>
      </c>
      <c r="W171" s="77">
        <v>1</v>
      </c>
      <c r="X171" s="77"/>
      <c r="Y171" s="77">
        <v>1</v>
      </c>
      <c r="Z171" s="77">
        <v>1</v>
      </c>
      <c r="AA171" s="77">
        <v>1</v>
      </c>
      <c r="AB171" s="77">
        <v>1</v>
      </c>
      <c r="AD171" s="1" t="b">
        <f t="shared" si="63"/>
        <v>1</v>
      </c>
      <c r="AE171" s="77">
        <v>1</v>
      </c>
      <c r="AF171" s="77">
        <v>1</v>
      </c>
    </row>
    <row r="172" spans="1:32" x14ac:dyDescent="0.25">
      <c r="A172" s="25" t="s">
        <v>249</v>
      </c>
      <c r="B172" s="3" t="s">
        <v>468</v>
      </c>
      <c r="C172" s="2" t="s">
        <v>481</v>
      </c>
      <c r="D172" s="2" t="s">
        <v>523</v>
      </c>
      <c r="E172" s="26" t="s">
        <v>323</v>
      </c>
      <c r="F172" s="26" t="s">
        <v>96</v>
      </c>
      <c r="G172" s="62">
        <v>0</v>
      </c>
      <c r="H172" s="77">
        <v>0</v>
      </c>
      <c r="I172" s="77">
        <v>0</v>
      </c>
      <c r="J172" s="77">
        <v>0</v>
      </c>
      <c r="K172" s="77">
        <v>0</v>
      </c>
      <c r="L172" s="77"/>
      <c r="M172" s="77">
        <v>0</v>
      </c>
      <c r="N172" s="77">
        <v>0</v>
      </c>
      <c r="O172" s="77">
        <v>0</v>
      </c>
      <c r="P172" s="77">
        <v>0</v>
      </c>
      <c r="Q172" s="77">
        <v>0</v>
      </c>
      <c r="R172" s="77">
        <v>0</v>
      </c>
      <c r="S172" s="77">
        <v>0</v>
      </c>
      <c r="T172" s="77">
        <v>0</v>
      </c>
      <c r="U172" s="77">
        <v>0</v>
      </c>
      <c r="V172" s="77">
        <v>0</v>
      </c>
      <c r="W172" s="77">
        <v>0</v>
      </c>
      <c r="X172" s="77"/>
      <c r="Y172" s="77">
        <v>0</v>
      </c>
      <c r="Z172" s="77">
        <v>0</v>
      </c>
      <c r="AA172" s="77">
        <v>0</v>
      </c>
      <c r="AB172" s="77">
        <v>0</v>
      </c>
      <c r="AD172" s="1" t="b">
        <f t="shared" si="63"/>
        <v>1</v>
      </c>
      <c r="AE172" s="77">
        <v>0</v>
      </c>
      <c r="AF172" s="77">
        <v>0</v>
      </c>
    </row>
    <row r="173" spans="1:32" x14ac:dyDescent="0.25">
      <c r="A173" s="25" t="s">
        <v>79</v>
      </c>
      <c r="B173" s="3" t="s">
        <v>468</v>
      </c>
      <c r="C173" s="2" t="s">
        <v>481</v>
      </c>
      <c r="D173" s="2" t="s">
        <v>523</v>
      </c>
      <c r="E173" s="26" t="s">
        <v>191</v>
      </c>
      <c r="F173" s="26" t="s">
        <v>101</v>
      </c>
      <c r="G173" s="62">
        <v>0.4</v>
      </c>
      <c r="H173" s="77">
        <v>0.4</v>
      </c>
      <c r="I173" s="77">
        <v>0.4</v>
      </c>
      <c r="J173" s="77">
        <v>0.4</v>
      </c>
      <c r="K173" s="77">
        <v>0.4</v>
      </c>
      <c r="L173" s="77"/>
      <c r="M173" s="77">
        <v>0.4</v>
      </c>
      <c r="N173" s="77">
        <v>0.4</v>
      </c>
      <c r="O173" s="77">
        <v>0.4</v>
      </c>
      <c r="P173" s="77">
        <v>0.4</v>
      </c>
      <c r="Q173" s="77">
        <v>0.4</v>
      </c>
      <c r="R173" s="77">
        <v>0.4</v>
      </c>
      <c r="S173" s="77">
        <v>0.4</v>
      </c>
      <c r="T173" s="77">
        <v>0.4</v>
      </c>
      <c r="U173" s="77">
        <v>0.4</v>
      </c>
      <c r="V173" s="77">
        <v>0.4</v>
      </c>
      <c r="W173" s="77">
        <v>0.4</v>
      </c>
      <c r="X173" s="77"/>
      <c r="Y173" s="77">
        <v>0.4</v>
      </c>
      <c r="Z173" s="77">
        <v>0.4</v>
      </c>
      <c r="AA173" s="77">
        <v>0.4</v>
      </c>
      <c r="AB173" s="77">
        <v>0.4</v>
      </c>
      <c r="AD173" s="1" t="b">
        <f t="shared" si="63"/>
        <v>1</v>
      </c>
      <c r="AE173" s="77">
        <v>0.4</v>
      </c>
      <c r="AF173" s="77">
        <v>0.4</v>
      </c>
    </row>
    <row r="174" spans="1:32" x14ac:dyDescent="0.25">
      <c r="A174" s="31" t="s">
        <v>80</v>
      </c>
      <c r="B174" s="3" t="s">
        <v>468</v>
      </c>
      <c r="C174" s="2" t="s">
        <v>481</v>
      </c>
      <c r="D174" s="2" t="s">
        <v>523</v>
      </c>
      <c r="E174" s="32" t="s">
        <v>192</v>
      </c>
      <c r="F174" s="32" t="s">
        <v>201</v>
      </c>
      <c r="G174" s="47">
        <v>3.2100000000000002E-6</v>
      </c>
      <c r="H174" s="86">
        <v>2.0000000000000001E-9</v>
      </c>
      <c r="I174" s="86">
        <v>2.0000000000000001E-9</v>
      </c>
      <c r="J174" s="86">
        <v>2.0000000000000001E-9</v>
      </c>
      <c r="K174" s="86">
        <v>2.0000000000000001E-9</v>
      </c>
      <c r="L174" s="86"/>
      <c r="M174" s="86">
        <v>2.0000000000000001E-9</v>
      </c>
      <c r="N174" s="86">
        <v>2.0000000000000001E-9</v>
      </c>
      <c r="O174" s="86">
        <v>2.0000000000000001E-9</v>
      </c>
      <c r="P174" s="86">
        <v>2.0000000000000001E-9</v>
      </c>
      <c r="Q174" s="86">
        <v>2.0000000000000001E-9</v>
      </c>
      <c r="R174" s="86">
        <v>2.0000000000000001E-9</v>
      </c>
      <c r="S174" s="86">
        <v>2.0000000000000001E-9</v>
      </c>
      <c r="T174" s="86">
        <v>2.0000000000000001E-9</v>
      </c>
      <c r="U174" s="86">
        <v>2.0000000000000001E-9</v>
      </c>
      <c r="V174" s="86">
        <v>2.0000000000000001E-9</v>
      </c>
      <c r="W174" s="86">
        <v>2.0000000000000001E-9</v>
      </c>
      <c r="X174" s="86"/>
      <c r="Y174" s="86">
        <v>2.0000000000000001E-9</v>
      </c>
      <c r="Z174" s="86">
        <v>2.0000000000000001E-9</v>
      </c>
      <c r="AA174" s="86">
        <v>2.0000000000000001E-9</v>
      </c>
      <c r="AB174" s="86">
        <v>2.0000000000000001E-9</v>
      </c>
      <c r="AD174" s="1" t="b">
        <f t="shared" si="63"/>
        <v>1</v>
      </c>
      <c r="AE174" s="86">
        <v>2.0000000000000001E-9</v>
      </c>
      <c r="AF174" s="86">
        <v>2.0000000000000001E-9</v>
      </c>
    </row>
    <row r="175" spans="1:32" x14ac:dyDescent="0.25">
      <c r="A175" s="31" t="s">
        <v>250</v>
      </c>
      <c r="B175" s="3" t="s">
        <v>468</v>
      </c>
      <c r="C175" s="2" t="s">
        <v>481</v>
      </c>
      <c r="D175" s="2" t="s">
        <v>523</v>
      </c>
      <c r="E175" s="32" t="s">
        <v>324</v>
      </c>
      <c r="F175" s="32" t="s">
        <v>110</v>
      </c>
      <c r="G175" s="63">
        <v>25</v>
      </c>
      <c r="H175" s="77">
        <v>25</v>
      </c>
      <c r="I175" s="77">
        <v>25</v>
      </c>
      <c r="J175" s="77">
        <v>25</v>
      </c>
      <c r="K175" s="77">
        <v>25</v>
      </c>
      <c r="L175" s="77"/>
      <c r="M175" s="77">
        <v>25</v>
      </c>
      <c r="N175" s="77">
        <v>25</v>
      </c>
      <c r="O175" s="77">
        <v>25</v>
      </c>
      <c r="P175" s="77">
        <v>25</v>
      </c>
      <c r="Q175" s="77">
        <v>25</v>
      </c>
      <c r="R175" s="77">
        <v>25</v>
      </c>
      <c r="S175" s="77">
        <v>25</v>
      </c>
      <c r="T175" s="77">
        <v>25</v>
      </c>
      <c r="U175" s="77">
        <v>25</v>
      </c>
      <c r="V175" s="77">
        <v>25</v>
      </c>
      <c r="W175" s="77">
        <v>25</v>
      </c>
      <c r="X175" s="77"/>
      <c r="Y175" s="77">
        <v>25</v>
      </c>
      <c r="Z175" s="77">
        <v>25</v>
      </c>
      <c r="AA175" s="77">
        <v>25</v>
      </c>
      <c r="AB175" s="77">
        <v>25</v>
      </c>
      <c r="AD175" s="1" t="b">
        <f t="shared" si="63"/>
        <v>1</v>
      </c>
      <c r="AE175" s="77">
        <v>25</v>
      </c>
      <c r="AF175" s="77">
        <v>25</v>
      </c>
    </row>
    <row r="176" spans="1:32" x14ac:dyDescent="0.25">
      <c r="A176" s="31" t="s">
        <v>251</v>
      </c>
      <c r="B176" s="3" t="s">
        <v>468</v>
      </c>
      <c r="C176" s="2" t="s">
        <v>481</v>
      </c>
      <c r="D176" s="2" t="s">
        <v>523</v>
      </c>
      <c r="E176" s="32" t="s">
        <v>325</v>
      </c>
      <c r="F176" s="32" t="s">
        <v>302</v>
      </c>
      <c r="G176" s="63">
        <v>0</v>
      </c>
      <c r="H176" s="77">
        <v>0</v>
      </c>
      <c r="I176" s="77">
        <v>0</v>
      </c>
      <c r="J176" s="77">
        <v>0</v>
      </c>
      <c r="K176" s="77">
        <v>0</v>
      </c>
      <c r="L176" s="77"/>
      <c r="M176" s="77">
        <v>0</v>
      </c>
      <c r="N176" s="77">
        <v>0</v>
      </c>
      <c r="O176" s="77">
        <v>0</v>
      </c>
      <c r="P176" s="77">
        <v>0</v>
      </c>
      <c r="Q176" s="77">
        <v>0</v>
      </c>
      <c r="R176" s="77">
        <v>0</v>
      </c>
      <c r="S176" s="77">
        <v>0</v>
      </c>
      <c r="T176" s="77">
        <v>0</v>
      </c>
      <c r="U176" s="77">
        <v>0</v>
      </c>
      <c r="V176" s="77">
        <v>0</v>
      </c>
      <c r="W176" s="77">
        <v>0</v>
      </c>
      <c r="X176" s="77"/>
      <c r="Y176" s="77">
        <v>0</v>
      </c>
      <c r="Z176" s="77">
        <v>0</v>
      </c>
      <c r="AA176" s="77">
        <v>0</v>
      </c>
      <c r="AB176" s="77">
        <v>0</v>
      </c>
      <c r="AD176" s="1" t="b">
        <f t="shared" si="63"/>
        <v>1</v>
      </c>
      <c r="AE176" s="77">
        <v>0</v>
      </c>
      <c r="AF176" s="77">
        <v>0</v>
      </c>
    </row>
    <row r="177" spans="1:32" x14ac:dyDescent="0.25">
      <c r="A177" s="31" t="s">
        <v>252</v>
      </c>
      <c r="B177" s="3" t="s">
        <v>468</v>
      </c>
      <c r="C177" s="2" t="s">
        <v>481</v>
      </c>
      <c r="D177" s="2" t="s">
        <v>523</v>
      </c>
      <c r="E177" s="32" t="s">
        <v>326</v>
      </c>
      <c r="F177" s="32" t="s">
        <v>101</v>
      </c>
      <c r="G177" s="63">
        <v>3.98</v>
      </c>
      <c r="H177" s="77">
        <v>3.98</v>
      </c>
      <c r="I177" s="77">
        <v>3.98</v>
      </c>
      <c r="J177" s="77">
        <v>3.98</v>
      </c>
      <c r="K177" s="77">
        <v>3.98</v>
      </c>
      <c r="L177" s="77"/>
      <c r="M177" s="77">
        <v>3.98</v>
      </c>
      <c r="N177" s="77">
        <v>3.98</v>
      </c>
      <c r="O177" s="77">
        <v>3.98</v>
      </c>
      <c r="P177" s="77">
        <v>3.98</v>
      </c>
      <c r="Q177" s="77">
        <v>3.98</v>
      </c>
      <c r="R177" s="77">
        <v>3.98</v>
      </c>
      <c r="S177" s="77">
        <v>3.98</v>
      </c>
      <c r="T177" s="77">
        <v>3.98</v>
      </c>
      <c r="U177" s="77">
        <v>3.98</v>
      </c>
      <c r="V177" s="77">
        <v>3.98</v>
      </c>
      <c r="W177" s="77">
        <v>3.98</v>
      </c>
      <c r="X177" s="77"/>
      <c r="Y177" s="77">
        <v>3.98</v>
      </c>
      <c r="Z177" s="77">
        <v>3.98</v>
      </c>
      <c r="AA177" s="77">
        <v>3.98</v>
      </c>
      <c r="AB177" s="77">
        <v>3.98</v>
      </c>
      <c r="AD177" s="1" t="b">
        <f t="shared" si="63"/>
        <v>1</v>
      </c>
      <c r="AE177" s="77">
        <v>3.98</v>
      </c>
      <c r="AF177" s="77">
        <v>3.98</v>
      </c>
    </row>
    <row r="178" spans="1:32" x14ac:dyDescent="0.25">
      <c r="A178" s="31" t="s">
        <v>253</v>
      </c>
      <c r="B178" s="3" t="s">
        <v>468</v>
      </c>
      <c r="C178" s="2" t="s">
        <v>481</v>
      </c>
      <c r="D178" s="2" t="s">
        <v>523</v>
      </c>
      <c r="E178" s="32" t="s">
        <v>327</v>
      </c>
      <c r="F178" s="32" t="s">
        <v>96</v>
      </c>
      <c r="G178" s="63">
        <v>1</v>
      </c>
      <c r="H178" s="77">
        <v>1</v>
      </c>
      <c r="I178" s="77">
        <v>1</v>
      </c>
      <c r="J178" s="77">
        <v>1</v>
      </c>
      <c r="K178" s="77">
        <v>1</v>
      </c>
      <c r="L178" s="77"/>
      <c r="M178" s="77">
        <v>1</v>
      </c>
      <c r="N178" s="77">
        <v>1</v>
      </c>
      <c r="O178" s="77">
        <v>1</v>
      </c>
      <c r="P178" s="77">
        <v>1</v>
      </c>
      <c r="Q178" s="77">
        <v>1</v>
      </c>
      <c r="R178" s="77">
        <v>1</v>
      </c>
      <c r="S178" s="77">
        <v>1</v>
      </c>
      <c r="T178" s="77">
        <v>1</v>
      </c>
      <c r="U178" s="77">
        <v>1</v>
      </c>
      <c r="V178" s="77">
        <v>1</v>
      </c>
      <c r="W178" s="77">
        <v>1</v>
      </c>
      <c r="X178" s="77"/>
      <c r="Y178" s="77">
        <v>1</v>
      </c>
      <c r="Z178" s="77">
        <v>1</v>
      </c>
      <c r="AA178" s="77">
        <v>1</v>
      </c>
      <c r="AB178" s="77">
        <v>1</v>
      </c>
      <c r="AD178" s="1" t="b">
        <f t="shared" si="63"/>
        <v>1</v>
      </c>
      <c r="AE178" s="77">
        <v>1</v>
      </c>
      <c r="AF178" s="77">
        <v>1</v>
      </c>
    </row>
    <row r="179" spans="1:32" x14ac:dyDescent="0.25">
      <c r="A179" s="31" t="s">
        <v>81</v>
      </c>
      <c r="B179" s="3" t="s">
        <v>468</v>
      </c>
      <c r="C179" s="2" t="s">
        <v>481</v>
      </c>
      <c r="D179" s="2" t="s">
        <v>523</v>
      </c>
      <c r="E179" s="32" t="s">
        <v>193</v>
      </c>
      <c r="F179" s="32" t="s">
        <v>199</v>
      </c>
      <c r="G179" s="47">
        <v>1.6666666666666666E-4</v>
      </c>
      <c r="H179" s="78">
        <v>1.6666666666666666E-4</v>
      </c>
      <c r="I179" s="78">
        <v>1.6666666666666666E-4</v>
      </c>
      <c r="J179" s="78">
        <v>1.6666666666666666E-4</v>
      </c>
      <c r="K179" s="78">
        <v>1.6666666666666666E-4</v>
      </c>
      <c r="L179" s="78"/>
      <c r="M179" s="78">
        <v>1.6666666666666666E-4</v>
      </c>
      <c r="N179" s="78">
        <v>1.6666666666666666E-4</v>
      </c>
      <c r="O179" s="78">
        <v>1.6666666666666666E-4</v>
      </c>
      <c r="P179" s="78">
        <v>1.6666666666666666E-4</v>
      </c>
      <c r="Q179" s="78">
        <v>1.6666666666666666E-4</v>
      </c>
      <c r="R179" s="78">
        <v>1.6666666666666666E-4</v>
      </c>
      <c r="S179" s="78">
        <v>1.6666666666666666E-4</v>
      </c>
      <c r="T179" s="78">
        <v>1.6666666666666666E-4</v>
      </c>
      <c r="U179" s="78">
        <v>1.6666666666666666E-4</v>
      </c>
      <c r="V179" s="78">
        <v>1.6666666666666666E-4</v>
      </c>
      <c r="W179" s="78">
        <v>1.6666666666666666E-4</v>
      </c>
      <c r="X179" s="78"/>
      <c r="Y179" s="78">
        <v>1.6666666666666666E-4</v>
      </c>
      <c r="Z179" s="78">
        <v>1.6666666666666666E-4</v>
      </c>
      <c r="AA179" s="78">
        <v>1.6666666666666666E-4</v>
      </c>
      <c r="AB179" s="78">
        <v>1.6666666666666666E-4</v>
      </c>
      <c r="AD179" s="1" t="b">
        <f t="shared" si="63"/>
        <v>1</v>
      </c>
      <c r="AE179" s="78">
        <v>1.6666666666666666E-4</v>
      </c>
      <c r="AF179" s="78">
        <v>1.6666666666666666E-4</v>
      </c>
    </row>
    <row r="180" spans="1:32" x14ac:dyDescent="0.25">
      <c r="A180" s="11" t="s">
        <v>254</v>
      </c>
      <c r="B180" s="3" t="s">
        <v>468</v>
      </c>
      <c r="C180" s="2" t="s">
        <v>481</v>
      </c>
      <c r="D180" s="2" t="s">
        <v>523</v>
      </c>
      <c r="E180" s="12" t="s">
        <v>328</v>
      </c>
      <c r="F180" s="12" t="s">
        <v>329</v>
      </c>
      <c r="G180" s="43">
        <v>1E-8</v>
      </c>
      <c r="H180" s="80">
        <v>1E-8</v>
      </c>
      <c r="I180" s="80">
        <v>1E-8</v>
      </c>
      <c r="J180" s="80">
        <v>1E-8</v>
      </c>
      <c r="K180" s="80">
        <v>1E-8</v>
      </c>
      <c r="L180" s="80"/>
      <c r="M180" s="80">
        <v>1E-8</v>
      </c>
      <c r="N180" s="80">
        <v>1E-8</v>
      </c>
      <c r="O180" s="80">
        <v>1E-8</v>
      </c>
      <c r="P180" s="80">
        <v>1E-8</v>
      </c>
      <c r="Q180" s="80">
        <v>1E-8</v>
      </c>
      <c r="R180" s="80">
        <v>1E-8</v>
      </c>
      <c r="S180" s="80">
        <v>1E-8</v>
      </c>
      <c r="T180" s="80">
        <v>1E-8</v>
      </c>
      <c r="U180" s="80">
        <v>1E-8</v>
      </c>
      <c r="V180" s="80">
        <v>1E-8</v>
      </c>
      <c r="W180" s="80">
        <v>1E-8</v>
      </c>
      <c r="X180" s="80"/>
      <c r="Y180" s="80">
        <v>1E-8</v>
      </c>
      <c r="Z180" s="80">
        <v>1E-8</v>
      </c>
      <c r="AA180" s="80">
        <v>1E-8</v>
      </c>
      <c r="AB180" s="80">
        <v>1E-8</v>
      </c>
      <c r="AD180" s="1" t="b">
        <f t="shared" si="63"/>
        <v>1</v>
      </c>
      <c r="AE180" s="80">
        <v>1E-8</v>
      </c>
      <c r="AF180" s="80">
        <v>1E-8</v>
      </c>
    </row>
    <row r="181" spans="1:32" x14ac:dyDescent="0.25">
      <c r="A181" s="11" t="s">
        <v>255</v>
      </c>
      <c r="B181" s="3" t="s">
        <v>468</v>
      </c>
      <c r="C181" s="2" t="s">
        <v>481</v>
      </c>
      <c r="D181" s="2" t="s">
        <v>523</v>
      </c>
      <c r="E181" s="12" t="s">
        <v>330</v>
      </c>
      <c r="F181" s="12" t="s">
        <v>110</v>
      </c>
      <c r="G181" s="55">
        <v>20</v>
      </c>
      <c r="H181" s="77">
        <v>20</v>
      </c>
      <c r="I181" s="77">
        <v>20</v>
      </c>
      <c r="J181" s="77">
        <v>20</v>
      </c>
      <c r="K181" s="77">
        <v>20</v>
      </c>
      <c r="L181" s="77"/>
      <c r="M181" s="77">
        <v>20</v>
      </c>
      <c r="N181" s="77">
        <v>20</v>
      </c>
      <c r="O181" s="77">
        <v>20</v>
      </c>
      <c r="P181" s="77">
        <v>20</v>
      </c>
      <c r="Q181" s="77">
        <v>20</v>
      </c>
      <c r="R181" s="77">
        <v>20</v>
      </c>
      <c r="S181" s="77">
        <v>20</v>
      </c>
      <c r="T181" s="77">
        <v>20</v>
      </c>
      <c r="U181" s="77">
        <v>20</v>
      </c>
      <c r="V181" s="77">
        <v>20</v>
      </c>
      <c r="W181" s="77">
        <v>20</v>
      </c>
      <c r="X181" s="77"/>
      <c r="Y181" s="77">
        <v>20</v>
      </c>
      <c r="Z181" s="77">
        <v>20</v>
      </c>
      <c r="AA181" s="77">
        <v>20</v>
      </c>
      <c r="AB181" s="77">
        <v>20</v>
      </c>
      <c r="AD181" s="1" t="b">
        <f t="shared" si="63"/>
        <v>1</v>
      </c>
      <c r="AE181" s="77">
        <v>20</v>
      </c>
      <c r="AF181" s="77">
        <v>20</v>
      </c>
    </row>
    <row r="182" spans="1:32" x14ac:dyDescent="0.25">
      <c r="A182" s="11" t="s">
        <v>256</v>
      </c>
      <c r="B182" s="3" t="s">
        <v>468</v>
      </c>
      <c r="C182" s="2" t="s">
        <v>481</v>
      </c>
      <c r="D182" s="2" t="s">
        <v>523</v>
      </c>
      <c r="E182" s="12" t="s">
        <v>331</v>
      </c>
      <c r="F182" s="12" t="s">
        <v>302</v>
      </c>
      <c r="G182" s="55">
        <v>0</v>
      </c>
      <c r="H182" s="77">
        <v>0</v>
      </c>
      <c r="I182" s="77">
        <v>0</v>
      </c>
      <c r="J182" s="77">
        <v>0</v>
      </c>
      <c r="K182" s="77">
        <v>0</v>
      </c>
      <c r="L182" s="77"/>
      <c r="M182" s="77">
        <v>0</v>
      </c>
      <c r="N182" s="77">
        <v>0</v>
      </c>
      <c r="O182" s="77">
        <v>0</v>
      </c>
      <c r="P182" s="77">
        <v>0</v>
      </c>
      <c r="Q182" s="77">
        <v>0</v>
      </c>
      <c r="R182" s="77">
        <v>0</v>
      </c>
      <c r="S182" s="77">
        <v>0</v>
      </c>
      <c r="T182" s="77">
        <v>0</v>
      </c>
      <c r="U182" s="77">
        <v>0</v>
      </c>
      <c r="V182" s="77">
        <v>0</v>
      </c>
      <c r="W182" s="77">
        <v>0</v>
      </c>
      <c r="X182" s="77"/>
      <c r="Y182" s="77">
        <v>0</v>
      </c>
      <c r="Z182" s="77">
        <v>0</v>
      </c>
      <c r="AA182" s="77">
        <v>0</v>
      </c>
      <c r="AB182" s="77">
        <v>0</v>
      </c>
      <c r="AD182" s="1" t="b">
        <f t="shared" si="63"/>
        <v>1</v>
      </c>
      <c r="AE182" s="77">
        <v>0</v>
      </c>
      <c r="AF182" s="77">
        <v>0</v>
      </c>
    </row>
    <row r="183" spans="1:32" x14ac:dyDescent="0.25">
      <c r="A183" s="11" t="s">
        <v>257</v>
      </c>
      <c r="B183" s="3" t="s">
        <v>468</v>
      </c>
      <c r="C183" s="2" t="s">
        <v>481</v>
      </c>
      <c r="D183" s="2" t="s">
        <v>523</v>
      </c>
      <c r="E183" s="12" t="s">
        <v>332</v>
      </c>
      <c r="F183" s="12" t="s">
        <v>101</v>
      </c>
      <c r="G183" s="55">
        <v>2</v>
      </c>
      <c r="H183" s="77">
        <v>2</v>
      </c>
      <c r="I183" s="77">
        <v>2</v>
      </c>
      <c r="J183" s="77">
        <v>2</v>
      </c>
      <c r="K183" s="77">
        <v>2</v>
      </c>
      <c r="L183" s="77"/>
      <c r="M183" s="77">
        <v>2</v>
      </c>
      <c r="N183" s="77">
        <v>2</v>
      </c>
      <c r="O183" s="77">
        <v>2</v>
      </c>
      <c r="P183" s="77">
        <v>2</v>
      </c>
      <c r="Q183" s="77">
        <v>2</v>
      </c>
      <c r="R183" s="77">
        <v>2</v>
      </c>
      <c r="S183" s="77">
        <v>2</v>
      </c>
      <c r="T183" s="77">
        <v>2</v>
      </c>
      <c r="U183" s="77">
        <v>2</v>
      </c>
      <c r="V183" s="77">
        <v>2</v>
      </c>
      <c r="W183" s="77">
        <v>2</v>
      </c>
      <c r="X183" s="77"/>
      <c r="Y183" s="77">
        <v>2</v>
      </c>
      <c r="Z183" s="77">
        <v>2</v>
      </c>
      <c r="AA183" s="77">
        <v>2</v>
      </c>
      <c r="AB183" s="77">
        <v>2</v>
      </c>
      <c r="AD183" s="1" t="b">
        <f t="shared" si="63"/>
        <v>1</v>
      </c>
      <c r="AE183" s="77">
        <v>2</v>
      </c>
      <c r="AF183" s="77">
        <v>2</v>
      </c>
    </row>
    <row r="184" spans="1:32" x14ac:dyDescent="0.25">
      <c r="A184" s="11" t="s">
        <v>258</v>
      </c>
      <c r="B184" s="3" t="s">
        <v>468</v>
      </c>
      <c r="C184" s="2" t="s">
        <v>481</v>
      </c>
      <c r="D184" s="2" t="s">
        <v>523</v>
      </c>
      <c r="E184" s="12" t="s">
        <v>333</v>
      </c>
      <c r="F184" s="12" t="s">
        <v>96</v>
      </c>
      <c r="G184" s="55">
        <v>1</v>
      </c>
      <c r="H184" s="77">
        <v>1</v>
      </c>
      <c r="I184" s="77">
        <v>1</v>
      </c>
      <c r="J184" s="77">
        <v>1</v>
      </c>
      <c r="K184" s="77">
        <v>1</v>
      </c>
      <c r="L184" s="77"/>
      <c r="M184" s="77">
        <v>1</v>
      </c>
      <c r="N184" s="77">
        <v>1</v>
      </c>
      <c r="O184" s="77">
        <v>1</v>
      </c>
      <c r="P184" s="77">
        <v>1</v>
      </c>
      <c r="Q184" s="77">
        <v>1</v>
      </c>
      <c r="R184" s="77">
        <v>1</v>
      </c>
      <c r="S184" s="77">
        <v>1</v>
      </c>
      <c r="T184" s="77">
        <v>1</v>
      </c>
      <c r="U184" s="77">
        <v>1</v>
      </c>
      <c r="V184" s="77">
        <v>1</v>
      </c>
      <c r="W184" s="77">
        <v>1</v>
      </c>
      <c r="X184" s="77"/>
      <c r="Y184" s="77">
        <v>1</v>
      </c>
      <c r="Z184" s="77">
        <v>1</v>
      </c>
      <c r="AA184" s="77">
        <v>1</v>
      </c>
      <c r="AB184" s="77">
        <v>1</v>
      </c>
      <c r="AD184" s="1" t="b">
        <f t="shared" si="63"/>
        <v>1</v>
      </c>
      <c r="AE184" s="77">
        <v>1</v>
      </c>
      <c r="AF184" s="77">
        <v>1</v>
      </c>
    </row>
    <row r="185" spans="1:32" x14ac:dyDescent="0.25">
      <c r="A185" s="11" t="s">
        <v>259</v>
      </c>
      <c r="B185" s="3" t="s">
        <v>468</v>
      </c>
      <c r="C185" s="2" t="s">
        <v>481</v>
      </c>
      <c r="D185" s="2" t="s">
        <v>523</v>
      </c>
      <c r="E185" s="12" t="s">
        <v>350</v>
      </c>
      <c r="F185" s="12" t="s">
        <v>199</v>
      </c>
      <c r="G185" s="43">
        <v>8.3333333333333331E-5</v>
      </c>
      <c r="H185" s="78">
        <v>8.3333333333333331E-5</v>
      </c>
      <c r="I185" s="78">
        <v>8.3333333333333331E-5</v>
      </c>
      <c r="J185" s="78">
        <v>8.3333333333333331E-5</v>
      </c>
      <c r="K185" s="78">
        <v>8.3333333333333331E-5</v>
      </c>
      <c r="L185" s="78"/>
      <c r="M185" s="78">
        <v>8.3333333333333331E-5</v>
      </c>
      <c r="N185" s="78">
        <v>8.3333333333333331E-5</v>
      </c>
      <c r="O185" s="78">
        <v>8.3333333333333331E-5</v>
      </c>
      <c r="P185" s="78">
        <v>8.3333333333333331E-5</v>
      </c>
      <c r="Q185" s="78">
        <v>8.3333333333333331E-5</v>
      </c>
      <c r="R185" s="78">
        <v>8.3333333333333331E-5</v>
      </c>
      <c r="S185" s="78">
        <v>8.3333333333333331E-5</v>
      </c>
      <c r="T185" s="78">
        <v>8.3333333333333331E-5</v>
      </c>
      <c r="U185" s="78">
        <v>8.3333333333333331E-5</v>
      </c>
      <c r="V185" s="78">
        <v>8.3333333333333331E-5</v>
      </c>
      <c r="W185" s="78">
        <v>8.3333333333333331E-5</v>
      </c>
      <c r="X185" s="78"/>
      <c r="Y185" s="78">
        <v>8.3333333333333331E-5</v>
      </c>
      <c r="Z185" s="78">
        <v>8.3333333333333331E-5</v>
      </c>
      <c r="AA185" s="78">
        <v>8.3333333333333331E-5</v>
      </c>
      <c r="AB185" s="78">
        <v>8.3333333333333331E-5</v>
      </c>
      <c r="AD185" s="1" t="b">
        <f t="shared" si="63"/>
        <v>1</v>
      </c>
      <c r="AE185" s="78">
        <v>8.3333333333333331E-5</v>
      </c>
      <c r="AF185" s="78">
        <v>8.3333333333333331E-5</v>
      </c>
    </row>
    <row r="186" spans="1:32" x14ac:dyDescent="0.25">
      <c r="A186" s="11" t="s">
        <v>260</v>
      </c>
      <c r="B186" s="3" t="s">
        <v>468</v>
      </c>
      <c r="C186" s="2" t="s">
        <v>481</v>
      </c>
      <c r="D186" s="2" t="s">
        <v>523</v>
      </c>
      <c r="E186" s="12" t="s">
        <v>351</v>
      </c>
      <c r="F186" s="12" t="s">
        <v>101</v>
      </c>
      <c r="G186" s="55">
        <v>1</v>
      </c>
      <c r="H186" s="77">
        <v>1</v>
      </c>
      <c r="I186" s="77">
        <v>1</v>
      </c>
      <c r="J186" s="77">
        <v>1</v>
      </c>
      <c r="K186" s="77">
        <v>1</v>
      </c>
      <c r="L186" s="77"/>
      <c r="M186" s="77">
        <v>1</v>
      </c>
      <c r="N186" s="77">
        <v>1</v>
      </c>
      <c r="O186" s="77">
        <v>1</v>
      </c>
      <c r="P186" s="77">
        <v>1</v>
      </c>
      <c r="Q186" s="77">
        <v>1</v>
      </c>
      <c r="R186" s="77">
        <v>1</v>
      </c>
      <c r="S186" s="77">
        <v>1</v>
      </c>
      <c r="T186" s="77">
        <v>1</v>
      </c>
      <c r="U186" s="77">
        <v>1</v>
      </c>
      <c r="V186" s="77">
        <v>1</v>
      </c>
      <c r="W186" s="77">
        <v>1</v>
      </c>
      <c r="X186" s="77"/>
      <c r="Y186" s="77">
        <v>1</v>
      </c>
      <c r="Z186" s="77">
        <v>1</v>
      </c>
      <c r="AA186" s="77">
        <v>1</v>
      </c>
      <c r="AB186" s="77">
        <v>1</v>
      </c>
      <c r="AD186" s="1" t="b">
        <f t="shared" si="63"/>
        <v>1</v>
      </c>
      <c r="AE186" s="77">
        <v>1</v>
      </c>
      <c r="AF186" s="77">
        <v>1</v>
      </c>
    </row>
    <row r="187" spans="1:32" x14ac:dyDescent="0.25">
      <c r="A187" s="27" t="s">
        <v>261</v>
      </c>
      <c r="B187" s="3" t="s">
        <v>468</v>
      </c>
      <c r="C187" s="2" t="s">
        <v>481</v>
      </c>
      <c r="D187" s="2" t="s">
        <v>523</v>
      </c>
      <c r="E187" s="28" t="s">
        <v>352</v>
      </c>
      <c r="F187" s="28" t="s">
        <v>353</v>
      </c>
      <c r="G187" s="48">
        <v>2.3533050791148895E-8</v>
      </c>
      <c r="H187" s="77">
        <v>2.3533050791148899E-8</v>
      </c>
      <c r="I187" s="77">
        <v>2.3533050791148899E-8</v>
      </c>
      <c r="J187" s="77">
        <v>2.3533050791148899E-8</v>
      </c>
      <c r="K187" s="77">
        <v>2.3533050791148899E-8</v>
      </c>
      <c r="L187" s="77"/>
      <c r="M187" s="77">
        <v>2.3533050791148899E-8</v>
      </c>
      <c r="N187" s="77">
        <v>2.3533050791148899E-8</v>
      </c>
      <c r="O187" s="77">
        <v>2.3533050791148899E-8</v>
      </c>
      <c r="P187" s="77">
        <v>2.3533050791148899E-8</v>
      </c>
      <c r="Q187" s="77">
        <v>2.3533050791148899E-8</v>
      </c>
      <c r="R187" s="77">
        <v>2.3533050791148899E-8</v>
      </c>
      <c r="S187" s="77">
        <v>2.3533050791148899E-8</v>
      </c>
      <c r="T187" s="77">
        <v>2.3533050791148899E-8</v>
      </c>
      <c r="U187" s="77">
        <v>2.3533050791148899E-8</v>
      </c>
      <c r="V187" s="77">
        <v>2.3533050791148899E-8</v>
      </c>
      <c r="W187" s="77">
        <v>2.3533050791148899E-8</v>
      </c>
      <c r="X187" s="77"/>
      <c r="Y187" s="77">
        <v>2.3533050791148899E-8</v>
      </c>
      <c r="Z187" s="77">
        <v>2.3533050791148899E-8</v>
      </c>
      <c r="AA187" s="77">
        <v>2.3533050791148899E-8</v>
      </c>
      <c r="AB187" s="77">
        <v>2.3533050791148899E-8</v>
      </c>
      <c r="AD187" s="1" t="b">
        <f t="shared" si="63"/>
        <v>1</v>
      </c>
      <c r="AE187" s="77">
        <v>2.3533050791148899E-8</v>
      </c>
      <c r="AF187" s="77">
        <v>2.3533050791148899E-8</v>
      </c>
    </row>
    <row r="188" spans="1:32" x14ac:dyDescent="0.25">
      <c r="A188" s="27" t="s">
        <v>262</v>
      </c>
      <c r="B188" s="3" t="s">
        <v>468</v>
      </c>
      <c r="C188" s="2" t="s">
        <v>481</v>
      </c>
      <c r="D188" s="2" t="s">
        <v>523</v>
      </c>
      <c r="E188" s="28" t="s">
        <v>334</v>
      </c>
      <c r="F188" s="28" t="s">
        <v>110</v>
      </c>
      <c r="G188" s="64">
        <v>20</v>
      </c>
      <c r="H188" s="77">
        <v>20</v>
      </c>
      <c r="I188" s="77">
        <v>20</v>
      </c>
      <c r="J188" s="77">
        <v>20</v>
      </c>
      <c r="K188" s="77">
        <v>20</v>
      </c>
      <c r="L188" s="77"/>
      <c r="M188" s="77">
        <v>20</v>
      </c>
      <c r="N188" s="77">
        <v>20</v>
      </c>
      <c r="O188" s="77">
        <v>20</v>
      </c>
      <c r="P188" s="77">
        <v>20</v>
      </c>
      <c r="Q188" s="77">
        <v>20</v>
      </c>
      <c r="R188" s="77">
        <v>20</v>
      </c>
      <c r="S188" s="77">
        <v>20</v>
      </c>
      <c r="T188" s="77">
        <v>20</v>
      </c>
      <c r="U188" s="77">
        <v>20</v>
      </c>
      <c r="V188" s="77">
        <v>20</v>
      </c>
      <c r="W188" s="77">
        <v>20</v>
      </c>
      <c r="X188" s="77"/>
      <c r="Y188" s="77">
        <v>20</v>
      </c>
      <c r="Z188" s="77">
        <v>20</v>
      </c>
      <c r="AA188" s="77">
        <v>20</v>
      </c>
      <c r="AB188" s="77">
        <v>20</v>
      </c>
      <c r="AD188" s="1" t="b">
        <f t="shared" si="63"/>
        <v>1</v>
      </c>
      <c r="AE188" s="77">
        <v>20</v>
      </c>
      <c r="AF188" s="77">
        <v>20</v>
      </c>
    </row>
    <row r="189" spans="1:32" x14ac:dyDescent="0.25">
      <c r="A189" s="27" t="s">
        <v>263</v>
      </c>
      <c r="B189" s="3" t="s">
        <v>468</v>
      </c>
      <c r="C189" s="2" t="s">
        <v>481</v>
      </c>
      <c r="D189" s="2" t="s">
        <v>523</v>
      </c>
      <c r="E189" s="28" t="s">
        <v>335</v>
      </c>
      <c r="F189" s="28" t="s">
        <v>302</v>
      </c>
      <c r="G189" s="64">
        <v>-0.187</v>
      </c>
      <c r="H189" s="77">
        <v>-0.187</v>
      </c>
      <c r="I189" s="77">
        <v>-0.187</v>
      </c>
      <c r="J189" s="77">
        <v>-0.187</v>
      </c>
      <c r="K189" s="77">
        <v>-0.187</v>
      </c>
      <c r="L189" s="77"/>
      <c r="M189" s="77">
        <v>-0.187</v>
      </c>
      <c r="N189" s="77">
        <v>-0.187</v>
      </c>
      <c r="O189" s="77">
        <v>-0.187</v>
      </c>
      <c r="P189" s="77">
        <v>-0.187</v>
      </c>
      <c r="Q189" s="77">
        <v>-0.187</v>
      </c>
      <c r="R189" s="77">
        <v>-0.187</v>
      </c>
      <c r="S189" s="77">
        <v>-0.187</v>
      </c>
      <c r="T189" s="77">
        <v>-0.187</v>
      </c>
      <c r="U189" s="77">
        <v>-0.187</v>
      </c>
      <c r="V189" s="77">
        <v>-0.187</v>
      </c>
      <c r="W189" s="77">
        <v>-0.187</v>
      </c>
      <c r="X189" s="77"/>
      <c r="Y189" s="77">
        <v>-0.187</v>
      </c>
      <c r="Z189" s="77">
        <v>-0.187</v>
      </c>
      <c r="AA189" s="77">
        <v>-0.187</v>
      </c>
      <c r="AB189" s="77">
        <v>-0.187</v>
      </c>
      <c r="AD189" s="1" t="b">
        <f t="shared" si="63"/>
        <v>1</v>
      </c>
      <c r="AE189" s="77">
        <v>-0.187</v>
      </c>
      <c r="AF189" s="77">
        <v>-0.187</v>
      </c>
    </row>
    <row r="190" spans="1:32" x14ac:dyDescent="0.25">
      <c r="A190" s="27" t="s">
        <v>264</v>
      </c>
      <c r="B190" s="3" t="s">
        <v>468</v>
      </c>
      <c r="C190" s="2" t="s">
        <v>481</v>
      </c>
      <c r="D190" s="2" t="s">
        <v>523</v>
      </c>
      <c r="E190" s="28" t="s">
        <v>336</v>
      </c>
      <c r="F190" s="28" t="s">
        <v>101</v>
      </c>
      <c r="G190" s="64">
        <v>2.48</v>
      </c>
      <c r="H190" s="77">
        <v>2.48</v>
      </c>
      <c r="I190" s="77">
        <v>2.48</v>
      </c>
      <c r="J190" s="77">
        <v>2.48</v>
      </c>
      <c r="K190" s="77">
        <v>2.48</v>
      </c>
      <c r="L190" s="77"/>
      <c r="M190" s="77">
        <v>2.48</v>
      </c>
      <c r="N190" s="77">
        <v>2.48</v>
      </c>
      <c r="O190" s="77">
        <v>2.48</v>
      </c>
      <c r="P190" s="77">
        <v>2.48</v>
      </c>
      <c r="Q190" s="77">
        <v>2.48</v>
      </c>
      <c r="R190" s="77">
        <v>2.48</v>
      </c>
      <c r="S190" s="77">
        <v>2.48</v>
      </c>
      <c r="T190" s="77">
        <v>2.48</v>
      </c>
      <c r="U190" s="77">
        <v>2.48</v>
      </c>
      <c r="V190" s="77">
        <v>2.48</v>
      </c>
      <c r="W190" s="77">
        <v>2.48</v>
      </c>
      <c r="X190" s="77"/>
      <c r="Y190" s="77">
        <v>2.48</v>
      </c>
      <c r="Z190" s="77">
        <v>2.48</v>
      </c>
      <c r="AA190" s="77">
        <v>2.48</v>
      </c>
      <c r="AB190" s="77">
        <v>2.48</v>
      </c>
      <c r="AD190" s="1" t="b">
        <f t="shared" si="63"/>
        <v>1</v>
      </c>
      <c r="AE190" s="77">
        <v>2.48</v>
      </c>
      <c r="AF190" s="77">
        <v>2.48</v>
      </c>
    </row>
    <row r="191" spans="1:32" x14ac:dyDescent="0.25">
      <c r="A191" s="27" t="s">
        <v>265</v>
      </c>
      <c r="B191" s="3" t="s">
        <v>468</v>
      </c>
      <c r="C191" s="2" t="s">
        <v>481</v>
      </c>
      <c r="D191" s="2" t="s">
        <v>523</v>
      </c>
      <c r="E191" s="28" t="s">
        <v>337</v>
      </c>
      <c r="F191" s="28" t="s">
        <v>96</v>
      </c>
      <c r="G191" s="64">
        <v>1</v>
      </c>
      <c r="H191" s="77">
        <v>1</v>
      </c>
      <c r="I191" s="77">
        <v>1</v>
      </c>
      <c r="J191" s="77">
        <v>1</v>
      </c>
      <c r="K191" s="77">
        <v>1</v>
      </c>
      <c r="L191" s="77"/>
      <c r="M191" s="77">
        <v>1</v>
      </c>
      <c r="N191" s="77">
        <v>1</v>
      </c>
      <c r="O191" s="77">
        <v>1</v>
      </c>
      <c r="P191" s="77">
        <v>1</v>
      </c>
      <c r="Q191" s="77">
        <v>1</v>
      </c>
      <c r="R191" s="77">
        <v>1</v>
      </c>
      <c r="S191" s="77">
        <v>1</v>
      </c>
      <c r="T191" s="77">
        <v>1</v>
      </c>
      <c r="U191" s="77">
        <v>1</v>
      </c>
      <c r="V191" s="77">
        <v>1</v>
      </c>
      <c r="W191" s="77">
        <v>1</v>
      </c>
      <c r="X191" s="77"/>
      <c r="Y191" s="77">
        <v>1</v>
      </c>
      <c r="Z191" s="77">
        <v>1</v>
      </c>
      <c r="AA191" s="77">
        <v>1</v>
      </c>
      <c r="AB191" s="77">
        <v>1</v>
      </c>
      <c r="AD191" s="1" t="b">
        <f t="shared" si="63"/>
        <v>1</v>
      </c>
      <c r="AE191" s="77">
        <v>1</v>
      </c>
      <c r="AF191" s="77">
        <v>1</v>
      </c>
    </row>
    <row r="192" spans="1:32" x14ac:dyDescent="0.25">
      <c r="A192" s="27" t="s">
        <v>266</v>
      </c>
      <c r="B192" s="3" t="s">
        <v>468</v>
      </c>
      <c r="C192" s="2" t="s">
        <v>481</v>
      </c>
      <c r="D192" s="2" t="s">
        <v>523</v>
      </c>
      <c r="E192" s="28" t="s">
        <v>354</v>
      </c>
      <c r="F192" s="28" t="s">
        <v>355</v>
      </c>
      <c r="G192" s="48">
        <v>6.1060227588121015E-4</v>
      </c>
      <c r="H192" s="77">
        <v>6.1060227588121015E-4</v>
      </c>
      <c r="I192" s="77">
        <v>6.1060227588121015E-4</v>
      </c>
      <c r="J192" s="77">
        <v>6.1060227588121015E-4</v>
      </c>
      <c r="K192" s="77">
        <v>6.1060227588121015E-4</v>
      </c>
      <c r="L192" s="77"/>
      <c r="M192" s="77">
        <v>6.1060227588121015E-4</v>
      </c>
      <c r="N192" s="77">
        <v>6.1060227588121015E-4</v>
      </c>
      <c r="O192" s="77">
        <v>6.1060227588121015E-4</v>
      </c>
      <c r="P192" s="77">
        <v>6.1060227588121015E-4</v>
      </c>
      <c r="Q192" s="77">
        <v>6.1060227588121015E-4</v>
      </c>
      <c r="R192" s="77">
        <v>6.1060227588121015E-4</v>
      </c>
      <c r="S192" s="77">
        <v>6.1060227588121015E-4</v>
      </c>
      <c r="T192" s="77">
        <v>6.1060227588121015E-4</v>
      </c>
      <c r="U192" s="77">
        <v>6.1060227588121015E-4</v>
      </c>
      <c r="V192" s="77">
        <v>6.1060227588121015E-4</v>
      </c>
      <c r="W192" s="77">
        <v>6.1060227588121015E-4</v>
      </c>
      <c r="X192" s="77"/>
      <c r="Y192" s="77">
        <v>6.1060227588121015E-4</v>
      </c>
      <c r="Z192" s="77">
        <v>6.1060227588121015E-4</v>
      </c>
      <c r="AA192" s="77">
        <v>6.1060227588121015E-4</v>
      </c>
      <c r="AB192" s="77">
        <v>6.1060227588121015E-4</v>
      </c>
      <c r="AD192" s="1" t="b">
        <f t="shared" si="63"/>
        <v>1</v>
      </c>
      <c r="AE192" s="77">
        <v>6.1060227588121015E-4</v>
      </c>
      <c r="AF192" s="77">
        <v>6.1060227588121015E-4</v>
      </c>
    </row>
    <row r="193" spans="1:32" x14ac:dyDescent="0.25">
      <c r="A193" s="23" t="s">
        <v>267</v>
      </c>
      <c r="B193" s="3" t="s">
        <v>468</v>
      </c>
      <c r="C193" s="2" t="s">
        <v>481</v>
      </c>
      <c r="D193" s="2" t="s">
        <v>523</v>
      </c>
      <c r="E193" s="24" t="s">
        <v>194</v>
      </c>
      <c r="F193" s="24" t="s">
        <v>201</v>
      </c>
      <c r="G193" s="46">
        <v>6.41E-9</v>
      </c>
      <c r="H193" s="85">
        <v>3.9999999999999998E-7</v>
      </c>
      <c r="I193" s="85">
        <v>3.9999999999999998E-7</v>
      </c>
      <c r="J193" s="85">
        <v>3.9999999999999998E-7</v>
      </c>
      <c r="K193" s="85">
        <v>3.9999999999999998E-7</v>
      </c>
      <c r="L193" s="85"/>
      <c r="M193" s="85">
        <v>3.9999999999999998E-7</v>
      </c>
      <c r="N193" s="85">
        <v>3.9999999999999998E-7</v>
      </c>
      <c r="O193" s="85">
        <v>3.9999999999999998E-7</v>
      </c>
      <c r="P193" s="85">
        <v>3.9999999999999998E-7</v>
      </c>
      <c r="Q193" s="85">
        <v>3.9999999999999998E-7</v>
      </c>
      <c r="R193" s="85">
        <v>3.9999999999999998E-7</v>
      </c>
      <c r="S193" s="85">
        <v>3.9999999999999998E-7</v>
      </c>
      <c r="T193" s="85">
        <v>3.9999999999999998E-7</v>
      </c>
      <c r="U193" s="85">
        <v>3.9999999999999998E-7</v>
      </c>
      <c r="V193" s="85">
        <v>3.9999999999999998E-7</v>
      </c>
      <c r="W193" s="85">
        <v>3.9999999999999998E-7</v>
      </c>
      <c r="X193" s="85"/>
      <c r="Y193" s="85">
        <v>3.9999999999999998E-7</v>
      </c>
      <c r="Z193" s="85">
        <v>3.9999999999999998E-7</v>
      </c>
      <c r="AA193" s="85">
        <v>3.9999999999999998E-7</v>
      </c>
      <c r="AB193" s="85">
        <v>3.9999999999999998E-7</v>
      </c>
      <c r="AD193" s="1" t="b">
        <f t="shared" si="63"/>
        <v>1</v>
      </c>
      <c r="AE193" s="85">
        <v>3.9999999999999998E-7</v>
      </c>
      <c r="AF193" s="85">
        <v>3.9999999999999998E-7</v>
      </c>
    </row>
    <row r="194" spans="1:32" x14ac:dyDescent="0.25">
      <c r="A194" s="23" t="s">
        <v>268</v>
      </c>
      <c r="B194" s="3" t="s">
        <v>468</v>
      </c>
      <c r="C194" s="2" t="s">
        <v>481</v>
      </c>
      <c r="D194" s="2" t="s">
        <v>523</v>
      </c>
      <c r="E194" s="24" t="s">
        <v>338</v>
      </c>
      <c r="F194" s="24" t="s">
        <v>110</v>
      </c>
      <c r="G194" s="58">
        <v>25</v>
      </c>
      <c r="H194" s="77">
        <v>25</v>
      </c>
      <c r="I194" s="77">
        <v>25</v>
      </c>
      <c r="J194" s="77">
        <v>25</v>
      </c>
      <c r="K194" s="77">
        <v>25</v>
      </c>
      <c r="L194" s="77"/>
      <c r="M194" s="77">
        <v>25</v>
      </c>
      <c r="N194" s="77">
        <v>25</v>
      </c>
      <c r="O194" s="77">
        <v>25</v>
      </c>
      <c r="P194" s="77">
        <v>25</v>
      </c>
      <c r="Q194" s="77">
        <v>25</v>
      </c>
      <c r="R194" s="77">
        <v>25</v>
      </c>
      <c r="S194" s="77">
        <v>25</v>
      </c>
      <c r="T194" s="77">
        <v>25</v>
      </c>
      <c r="U194" s="77">
        <v>25</v>
      </c>
      <c r="V194" s="77">
        <v>25</v>
      </c>
      <c r="W194" s="77">
        <v>25</v>
      </c>
      <c r="X194" s="77"/>
      <c r="Y194" s="77">
        <v>25</v>
      </c>
      <c r="Z194" s="77">
        <v>25</v>
      </c>
      <c r="AA194" s="77">
        <v>25</v>
      </c>
      <c r="AB194" s="77">
        <v>25</v>
      </c>
      <c r="AD194" s="1" t="b">
        <f t="shared" ref="AD194:AD225" si="69">M194=AB194</f>
        <v>1</v>
      </c>
      <c r="AE194" s="77">
        <v>25</v>
      </c>
      <c r="AF194" s="77">
        <v>25</v>
      </c>
    </row>
    <row r="195" spans="1:32" x14ac:dyDescent="0.25">
      <c r="A195" s="23" t="s">
        <v>269</v>
      </c>
      <c r="B195" s="3" t="s">
        <v>468</v>
      </c>
      <c r="C195" s="2" t="s">
        <v>481</v>
      </c>
      <c r="D195" s="2" t="s">
        <v>523</v>
      </c>
      <c r="E195" s="24" t="s">
        <v>339</v>
      </c>
      <c r="F195" s="24" t="s">
        <v>302</v>
      </c>
      <c r="G195" s="58">
        <v>0</v>
      </c>
      <c r="H195" s="77">
        <v>0</v>
      </c>
      <c r="I195" s="77">
        <v>0</v>
      </c>
      <c r="J195" s="77">
        <v>0</v>
      </c>
      <c r="K195" s="77">
        <v>0</v>
      </c>
      <c r="L195" s="77"/>
      <c r="M195" s="77">
        <v>0</v>
      </c>
      <c r="N195" s="77">
        <v>0</v>
      </c>
      <c r="O195" s="77">
        <v>0</v>
      </c>
      <c r="P195" s="77">
        <v>0</v>
      </c>
      <c r="Q195" s="77">
        <v>0</v>
      </c>
      <c r="R195" s="77">
        <v>0</v>
      </c>
      <c r="S195" s="77">
        <v>0</v>
      </c>
      <c r="T195" s="77">
        <v>0</v>
      </c>
      <c r="U195" s="77">
        <v>0</v>
      </c>
      <c r="V195" s="77">
        <v>0</v>
      </c>
      <c r="W195" s="77">
        <v>0</v>
      </c>
      <c r="X195" s="77"/>
      <c r="Y195" s="77">
        <v>0</v>
      </c>
      <c r="Z195" s="77">
        <v>0</v>
      </c>
      <c r="AA195" s="77">
        <v>0</v>
      </c>
      <c r="AB195" s="77">
        <v>0</v>
      </c>
      <c r="AD195" s="1" t="b">
        <f t="shared" si="69"/>
        <v>1</v>
      </c>
      <c r="AE195" s="77">
        <v>0</v>
      </c>
      <c r="AF195" s="77">
        <v>0</v>
      </c>
    </row>
    <row r="196" spans="1:32" x14ac:dyDescent="0.25">
      <c r="A196" s="23" t="s">
        <v>270</v>
      </c>
      <c r="B196" s="3" t="s">
        <v>468</v>
      </c>
      <c r="C196" s="2" t="s">
        <v>481</v>
      </c>
      <c r="D196" s="2" t="s">
        <v>523</v>
      </c>
      <c r="E196" s="24" t="s">
        <v>340</v>
      </c>
      <c r="F196" s="24" t="s">
        <v>101</v>
      </c>
      <c r="G196" s="58">
        <v>3.98</v>
      </c>
      <c r="H196" s="77">
        <v>3.98</v>
      </c>
      <c r="I196" s="77">
        <v>3.98</v>
      </c>
      <c r="J196" s="77">
        <v>3.98</v>
      </c>
      <c r="K196" s="77">
        <v>3.98</v>
      </c>
      <c r="L196" s="77"/>
      <c r="M196" s="77">
        <v>3.98</v>
      </c>
      <c r="N196" s="77">
        <v>3.98</v>
      </c>
      <c r="O196" s="77">
        <v>3.98</v>
      </c>
      <c r="P196" s="77">
        <v>3.98</v>
      </c>
      <c r="Q196" s="77">
        <v>3.98</v>
      </c>
      <c r="R196" s="77">
        <v>3.98</v>
      </c>
      <c r="S196" s="77">
        <v>3.98</v>
      </c>
      <c r="T196" s="77">
        <v>3.98</v>
      </c>
      <c r="U196" s="77">
        <v>3.98</v>
      </c>
      <c r="V196" s="77">
        <v>3.98</v>
      </c>
      <c r="W196" s="77">
        <v>3.98</v>
      </c>
      <c r="X196" s="77"/>
      <c r="Y196" s="77">
        <v>3.98</v>
      </c>
      <c r="Z196" s="77">
        <v>3.98</v>
      </c>
      <c r="AA196" s="77">
        <v>3.98</v>
      </c>
      <c r="AB196" s="77">
        <v>3.98</v>
      </c>
      <c r="AD196" s="1" t="b">
        <f t="shared" si="69"/>
        <v>1</v>
      </c>
      <c r="AE196" s="77">
        <v>3.98</v>
      </c>
      <c r="AF196" s="77">
        <v>3.98</v>
      </c>
    </row>
    <row r="197" spans="1:32" x14ac:dyDescent="0.25">
      <c r="A197" s="23" t="s">
        <v>271</v>
      </c>
      <c r="B197" s="3" t="s">
        <v>468</v>
      </c>
      <c r="C197" s="2" t="s">
        <v>481</v>
      </c>
      <c r="D197" s="2" t="s">
        <v>523</v>
      </c>
      <c r="E197" s="24" t="s">
        <v>341</v>
      </c>
      <c r="F197" s="24" t="s">
        <v>96</v>
      </c>
      <c r="G197" s="58">
        <v>1</v>
      </c>
      <c r="H197" s="77">
        <v>1</v>
      </c>
      <c r="I197" s="77">
        <v>1</v>
      </c>
      <c r="J197" s="77">
        <v>1</v>
      </c>
      <c r="K197" s="77">
        <v>1</v>
      </c>
      <c r="L197" s="77"/>
      <c r="M197" s="77">
        <v>1</v>
      </c>
      <c r="N197" s="77">
        <v>1</v>
      </c>
      <c r="O197" s="77">
        <v>1</v>
      </c>
      <c r="P197" s="77">
        <v>1</v>
      </c>
      <c r="Q197" s="77">
        <v>1</v>
      </c>
      <c r="R197" s="77">
        <v>1</v>
      </c>
      <c r="S197" s="77">
        <v>1</v>
      </c>
      <c r="T197" s="77">
        <v>1</v>
      </c>
      <c r="U197" s="77">
        <v>1</v>
      </c>
      <c r="V197" s="77">
        <v>1</v>
      </c>
      <c r="W197" s="77">
        <v>1</v>
      </c>
      <c r="X197" s="77"/>
      <c r="Y197" s="77">
        <v>1</v>
      </c>
      <c r="Z197" s="77">
        <v>1</v>
      </c>
      <c r="AA197" s="77">
        <v>1</v>
      </c>
      <c r="AB197" s="77">
        <v>1</v>
      </c>
      <c r="AD197" s="1" t="b">
        <f t="shared" si="69"/>
        <v>1</v>
      </c>
      <c r="AE197" s="77">
        <v>1</v>
      </c>
      <c r="AF197" s="77">
        <v>1</v>
      </c>
    </row>
    <row r="198" spans="1:32" x14ac:dyDescent="0.25">
      <c r="A198" s="23" t="s">
        <v>272</v>
      </c>
      <c r="B198" s="3" t="s">
        <v>468</v>
      </c>
      <c r="C198" s="2" t="s">
        <v>481</v>
      </c>
      <c r="D198" s="2" t="s">
        <v>523</v>
      </c>
      <c r="E198" s="24" t="s">
        <v>195</v>
      </c>
      <c r="F198" s="24" t="s">
        <v>199</v>
      </c>
      <c r="G198" s="46">
        <v>8.3333333333333331E-5</v>
      </c>
      <c r="H198" s="78">
        <v>8.3333333333333331E-5</v>
      </c>
      <c r="I198" s="78">
        <v>8.3333333333333331E-5</v>
      </c>
      <c r="J198" s="78">
        <v>8.3333333333333331E-5</v>
      </c>
      <c r="K198" s="78">
        <v>8.3333333333333331E-5</v>
      </c>
      <c r="L198" s="78"/>
      <c r="M198" s="78">
        <v>8.3333333333333331E-5</v>
      </c>
      <c r="N198" s="78">
        <v>8.3333333333333331E-5</v>
      </c>
      <c r="O198" s="78">
        <v>8.3333333333333331E-5</v>
      </c>
      <c r="P198" s="78">
        <v>8.3333333333333331E-5</v>
      </c>
      <c r="Q198" s="78">
        <v>8.3333333333333331E-5</v>
      </c>
      <c r="R198" s="78">
        <v>8.3333333333333331E-5</v>
      </c>
      <c r="S198" s="78">
        <v>8.3333333333333331E-5</v>
      </c>
      <c r="T198" s="78">
        <v>8.3333333333333331E-5</v>
      </c>
      <c r="U198" s="78">
        <v>8.3333333333333331E-5</v>
      </c>
      <c r="V198" s="78">
        <v>8.3333333333333331E-5</v>
      </c>
      <c r="W198" s="78">
        <v>8.3333333333333331E-5</v>
      </c>
      <c r="X198" s="78"/>
      <c r="Y198" s="78">
        <v>8.3333333333333331E-5</v>
      </c>
      <c r="Z198" s="78">
        <v>8.3333333333333331E-5</v>
      </c>
      <c r="AA198" s="78">
        <v>8.3333333333333331E-5</v>
      </c>
      <c r="AB198" s="78">
        <v>8.3333333333333331E-5</v>
      </c>
      <c r="AD198" s="1" t="b">
        <f t="shared" si="69"/>
        <v>1</v>
      </c>
      <c r="AE198" s="78">
        <v>8.3333333333333331E-5</v>
      </c>
      <c r="AF198" s="78">
        <v>8.3333333333333331E-5</v>
      </c>
    </row>
    <row r="199" spans="1:32" x14ac:dyDescent="0.25">
      <c r="A199" s="7" t="s">
        <v>273</v>
      </c>
      <c r="B199" s="3" t="s">
        <v>468</v>
      </c>
      <c r="C199" s="2" t="s">
        <v>481</v>
      </c>
      <c r="D199" s="2" t="s">
        <v>523</v>
      </c>
      <c r="E199" s="8" t="s">
        <v>356</v>
      </c>
      <c r="F199" s="8" t="s">
        <v>201</v>
      </c>
      <c r="G199" s="40">
        <v>6.41E-9</v>
      </c>
      <c r="H199" s="85">
        <v>3.9999999999999998E-7</v>
      </c>
      <c r="I199" s="85">
        <v>3.9999999999999998E-7</v>
      </c>
      <c r="J199" s="85">
        <v>3.9999999999999998E-7</v>
      </c>
      <c r="K199" s="85">
        <v>3.9999999999999998E-7</v>
      </c>
      <c r="L199" s="85"/>
      <c r="M199" s="85">
        <v>3.9999999999999998E-7</v>
      </c>
      <c r="N199" s="85">
        <v>3.9999999999999998E-7</v>
      </c>
      <c r="O199" s="85">
        <v>3.9999999999999998E-7</v>
      </c>
      <c r="P199" s="85">
        <v>3.9999999999999998E-7</v>
      </c>
      <c r="Q199" s="85">
        <v>3.9999999999999998E-7</v>
      </c>
      <c r="R199" s="85">
        <v>3.9999999999999998E-7</v>
      </c>
      <c r="S199" s="85">
        <v>3.9999999999999998E-7</v>
      </c>
      <c r="T199" s="85">
        <v>3.9999999999999998E-7</v>
      </c>
      <c r="U199" s="85">
        <v>3.9999999999999998E-7</v>
      </c>
      <c r="V199" s="85">
        <v>3.9999999999999998E-7</v>
      </c>
      <c r="W199" s="85">
        <v>3.9999999999999998E-7</v>
      </c>
      <c r="X199" s="85"/>
      <c r="Y199" s="85">
        <v>3.9999999999999998E-7</v>
      </c>
      <c r="Z199" s="85">
        <v>3.9999999999999998E-7</v>
      </c>
      <c r="AA199" s="85">
        <v>3.9999999999999998E-7</v>
      </c>
      <c r="AB199" s="85">
        <v>3.9999999999999998E-7</v>
      </c>
      <c r="AD199" s="1" t="b">
        <f t="shared" si="69"/>
        <v>1</v>
      </c>
      <c r="AE199" s="85">
        <v>3.9999999999999998E-7</v>
      </c>
      <c r="AF199" s="85">
        <v>3.9999999999999998E-7</v>
      </c>
    </row>
    <row r="200" spans="1:32" x14ac:dyDescent="0.25">
      <c r="A200" s="7" t="s">
        <v>274</v>
      </c>
      <c r="B200" s="3" t="s">
        <v>468</v>
      </c>
      <c r="C200" s="2" t="s">
        <v>481</v>
      </c>
      <c r="D200" s="2" t="s">
        <v>523</v>
      </c>
      <c r="E200" s="8" t="s">
        <v>342</v>
      </c>
      <c r="F200" s="8" t="s">
        <v>110</v>
      </c>
      <c r="G200" s="51">
        <v>25</v>
      </c>
      <c r="H200" s="77">
        <v>25</v>
      </c>
      <c r="I200" s="77">
        <v>25</v>
      </c>
      <c r="J200" s="77">
        <v>25</v>
      </c>
      <c r="K200" s="77">
        <v>25</v>
      </c>
      <c r="L200" s="77"/>
      <c r="M200" s="77">
        <v>25</v>
      </c>
      <c r="N200" s="77">
        <v>25</v>
      </c>
      <c r="O200" s="77">
        <v>25</v>
      </c>
      <c r="P200" s="77">
        <v>25</v>
      </c>
      <c r="Q200" s="77">
        <v>25</v>
      </c>
      <c r="R200" s="77">
        <v>25</v>
      </c>
      <c r="S200" s="77">
        <v>25</v>
      </c>
      <c r="T200" s="77">
        <v>25</v>
      </c>
      <c r="U200" s="77">
        <v>25</v>
      </c>
      <c r="V200" s="77">
        <v>25</v>
      </c>
      <c r="W200" s="77">
        <v>25</v>
      </c>
      <c r="X200" s="77"/>
      <c r="Y200" s="77">
        <v>25</v>
      </c>
      <c r="Z200" s="77">
        <v>25</v>
      </c>
      <c r="AA200" s="77">
        <v>25</v>
      </c>
      <c r="AB200" s="77">
        <v>25</v>
      </c>
      <c r="AD200" s="1" t="b">
        <f t="shared" si="69"/>
        <v>1</v>
      </c>
      <c r="AE200" s="77">
        <v>25</v>
      </c>
      <c r="AF200" s="77">
        <v>25</v>
      </c>
    </row>
    <row r="201" spans="1:32" x14ac:dyDescent="0.25">
      <c r="A201" s="7" t="s">
        <v>275</v>
      </c>
      <c r="B201" s="3" t="s">
        <v>468</v>
      </c>
      <c r="C201" s="2" t="s">
        <v>481</v>
      </c>
      <c r="D201" s="2" t="s">
        <v>523</v>
      </c>
      <c r="E201" s="8" t="s">
        <v>343</v>
      </c>
      <c r="F201" s="8" t="s">
        <v>302</v>
      </c>
      <c r="G201" s="51">
        <v>0</v>
      </c>
      <c r="H201" s="77">
        <v>0</v>
      </c>
      <c r="I201" s="77">
        <v>0</v>
      </c>
      <c r="J201" s="77">
        <v>0</v>
      </c>
      <c r="K201" s="77">
        <v>0</v>
      </c>
      <c r="L201" s="77"/>
      <c r="M201" s="77">
        <v>0</v>
      </c>
      <c r="N201" s="77">
        <v>0</v>
      </c>
      <c r="O201" s="77">
        <v>0</v>
      </c>
      <c r="P201" s="77">
        <v>0</v>
      </c>
      <c r="Q201" s="77">
        <v>0</v>
      </c>
      <c r="R201" s="77">
        <v>0</v>
      </c>
      <c r="S201" s="77">
        <v>0</v>
      </c>
      <c r="T201" s="77">
        <v>0</v>
      </c>
      <c r="U201" s="77">
        <v>0</v>
      </c>
      <c r="V201" s="77">
        <v>0</v>
      </c>
      <c r="W201" s="77">
        <v>0</v>
      </c>
      <c r="X201" s="77"/>
      <c r="Y201" s="77">
        <v>0</v>
      </c>
      <c r="Z201" s="77">
        <v>0</v>
      </c>
      <c r="AA201" s="77">
        <v>0</v>
      </c>
      <c r="AB201" s="77">
        <v>0</v>
      </c>
      <c r="AD201" s="1" t="b">
        <f t="shared" si="69"/>
        <v>1</v>
      </c>
      <c r="AE201" s="77">
        <v>0</v>
      </c>
      <c r="AF201" s="77">
        <v>0</v>
      </c>
    </row>
    <row r="202" spans="1:32" x14ac:dyDescent="0.25">
      <c r="A202" s="7" t="s">
        <v>276</v>
      </c>
      <c r="B202" s="3" t="s">
        <v>468</v>
      </c>
      <c r="C202" s="2" t="s">
        <v>481</v>
      </c>
      <c r="D202" s="2" t="s">
        <v>523</v>
      </c>
      <c r="E202" s="8" t="s">
        <v>344</v>
      </c>
      <c r="F202" s="8" t="s">
        <v>101</v>
      </c>
      <c r="G202" s="51">
        <v>3.98</v>
      </c>
      <c r="H202" s="77">
        <v>3.98</v>
      </c>
      <c r="I202" s="77">
        <v>3.98</v>
      </c>
      <c r="J202" s="77">
        <v>3.98</v>
      </c>
      <c r="K202" s="77">
        <v>3.98</v>
      </c>
      <c r="L202" s="77"/>
      <c r="M202" s="77">
        <v>3.98</v>
      </c>
      <c r="N202" s="77">
        <v>3.98</v>
      </c>
      <c r="O202" s="77">
        <v>3.98</v>
      </c>
      <c r="P202" s="77">
        <v>3.98</v>
      </c>
      <c r="Q202" s="77">
        <v>3.98</v>
      </c>
      <c r="R202" s="77">
        <v>3.98</v>
      </c>
      <c r="S202" s="77">
        <v>3.98</v>
      </c>
      <c r="T202" s="77">
        <v>3.98</v>
      </c>
      <c r="U202" s="77">
        <v>3.98</v>
      </c>
      <c r="V202" s="77">
        <v>3.98</v>
      </c>
      <c r="W202" s="77">
        <v>3.98</v>
      </c>
      <c r="X202" s="77"/>
      <c r="Y202" s="77">
        <v>3.98</v>
      </c>
      <c r="Z202" s="77">
        <v>3.98</v>
      </c>
      <c r="AA202" s="77">
        <v>3.98</v>
      </c>
      <c r="AB202" s="77">
        <v>3.98</v>
      </c>
      <c r="AD202" s="1" t="b">
        <f t="shared" si="69"/>
        <v>1</v>
      </c>
      <c r="AE202" s="77">
        <v>3.98</v>
      </c>
      <c r="AF202" s="77">
        <v>3.98</v>
      </c>
    </row>
    <row r="203" spans="1:32" x14ac:dyDescent="0.25">
      <c r="A203" s="7" t="s">
        <v>277</v>
      </c>
      <c r="B203" s="3" t="s">
        <v>468</v>
      </c>
      <c r="C203" s="2" t="s">
        <v>481</v>
      </c>
      <c r="D203" s="2" t="s">
        <v>523</v>
      </c>
      <c r="E203" s="8" t="s">
        <v>345</v>
      </c>
      <c r="F203" s="8" t="s">
        <v>96</v>
      </c>
      <c r="G203" s="51">
        <v>1</v>
      </c>
      <c r="H203" s="77">
        <v>1</v>
      </c>
      <c r="I203" s="77">
        <v>1</v>
      </c>
      <c r="J203" s="77">
        <v>1</v>
      </c>
      <c r="K203" s="77">
        <v>1</v>
      </c>
      <c r="L203" s="77"/>
      <c r="M203" s="77">
        <v>1</v>
      </c>
      <c r="N203" s="77">
        <v>1</v>
      </c>
      <c r="O203" s="77">
        <v>1</v>
      </c>
      <c r="P203" s="77">
        <v>1</v>
      </c>
      <c r="Q203" s="77">
        <v>1</v>
      </c>
      <c r="R203" s="77">
        <v>1</v>
      </c>
      <c r="S203" s="77">
        <v>1</v>
      </c>
      <c r="T203" s="77">
        <v>1</v>
      </c>
      <c r="U203" s="77">
        <v>1</v>
      </c>
      <c r="V203" s="77">
        <v>1</v>
      </c>
      <c r="W203" s="77">
        <v>1</v>
      </c>
      <c r="X203" s="77"/>
      <c r="Y203" s="77">
        <v>1</v>
      </c>
      <c r="Z203" s="77">
        <v>1</v>
      </c>
      <c r="AA203" s="77">
        <v>1</v>
      </c>
      <c r="AB203" s="77">
        <v>1</v>
      </c>
      <c r="AD203" s="1" t="b">
        <f t="shared" si="69"/>
        <v>1</v>
      </c>
      <c r="AE203" s="77">
        <v>1</v>
      </c>
      <c r="AF203" s="77">
        <v>1</v>
      </c>
    </row>
    <row r="204" spans="1:32" x14ac:dyDescent="0.25">
      <c r="A204" s="7" t="s">
        <v>278</v>
      </c>
      <c r="B204" s="3" t="s">
        <v>468</v>
      </c>
      <c r="C204" s="2" t="s">
        <v>481</v>
      </c>
      <c r="D204" s="2" t="s">
        <v>523</v>
      </c>
      <c r="E204" s="8" t="s">
        <v>359</v>
      </c>
      <c r="F204" s="8" t="s">
        <v>199</v>
      </c>
      <c r="G204" s="40">
        <v>8.3333333333333331E-5</v>
      </c>
      <c r="H204" s="78">
        <v>8.3333333333333331E-5</v>
      </c>
      <c r="I204" s="78">
        <v>8.3333333333333331E-5</v>
      </c>
      <c r="J204" s="78">
        <v>8.3333333333333331E-5</v>
      </c>
      <c r="K204" s="78">
        <v>8.3333333333333331E-5</v>
      </c>
      <c r="L204" s="78"/>
      <c r="M204" s="78">
        <v>8.3333333333333331E-5</v>
      </c>
      <c r="N204" s="78">
        <v>8.3333333333333331E-5</v>
      </c>
      <c r="O204" s="78">
        <v>8.3333333333333331E-5</v>
      </c>
      <c r="P204" s="78">
        <v>8.3333333333333331E-5</v>
      </c>
      <c r="Q204" s="78">
        <v>8.3333333333333331E-5</v>
      </c>
      <c r="R204" s="78">
        <v>8.3333333333333331E-5</v>
      </c>
      <c r="S204" s="78">
        <v>8.3333333333333331E-5</v>
      </c>
      <c r="T204" s="78">
        <v>8.3333333333333331E-5</v>
      </c>
      <c r="U204" s="78">
        <v>8.3333333333333331E-5</v>
      </c>
      <c r="V204" s="78">
        <v>8.3333333333333331E-5</v>
      </c>
      <c r="W204" s="78">
        <v>8.3333333333333331E-5</v>
      </c>
      <c r="X204" s="78"/>
      <c r="Y204" s="78">
        <v>8.3333333333333331E-5</v>
      </c>
      <c r="Z204" s="78">
        <v>8.3333333333333331E-5</v>
      </c>
      <c r="AA204" s="78">
        <v>8.3333333333333331E-5</v>
      </c>
      <c r="AB204" s="78">
        <v>8.3333333333333331E-5</v>
      </c>
      <c r="AD204" s="1" t="b">
        <f t="shared" si="69"/>
        <v>1</v>
      </c>
      <c r="AE204" s="78">
        <v>8.3333333333333331E-5</v>
      </c>
      <c r="AF204" s="78">
        <v>8.3333333333333331E-5</v>
      </c>
    </row>
    <row r="205" spans="1:32" x14ac:dyDescent="0.25">
      <c r="A205" s="29" t="s">
        <v>279</v>
      </c>
      <c r="B205" s="3" t="s">
        <v>468</v>
      </c>
      <c r="C205" s="2" t="s">
        <v>481</v>
      </c>
      <c r="D205" s="2" t="s">
        <v>523</v>
      </c>
      <c r="E205" s="30" t="s">
        <v>357</v>
      </c>
      <c r="F205" s="30" t="s">
        <v>358</v>
      </c>
      <c r="G205" s="49">
        <v>3.205E-9</v>
      </c>
      <c r="H205" s="85">
        <v>1.9999999999999999E-7</v>
      </c>
      <c r="I205" s="85">
        <v>1.9999999999999999E-7</v>
      </c>
      <c r="J205" s="85">
        <v>1.9999999999999999E-7</v>
      </c>
      <c r="K205" s="85">
        <v>1.9999999999999999E-7</v>
      </c>
      <c r="L205" s="85"/>
      <c r="M205" s="85">
        <v>1.9999999999999999E-7</v>
      </c>
      <c r="N205" s="85">
        <v>1.9999999999999999E-7</v>
      </c>
      <c r="O205" s="85">
        <v>1.9999999999999999E-7</v>
      </c>
      <c r="P205" s="85">
        <v>1.9999999999999999E-7</v>
      </c>
      <c r="Q205" s="85">
        <v>1.9999999999999999E-7</v>
      </c>
      <c r="R205" s="85">
        <v>1.9999999999999999E-7</v>
      </c>
      <c r="S205" s="85">
        <v>1.9999999999999999E-7</v>
      </c>
      <c r="T205" s="85">
        <v>1.9999999999999999E-7</v>
      </c>
      <c r="U205" s="85">
        <v>1.9999999999999999E-7</v>
      </c>
      <c r="V205" s="85">
        <v>1.9999999999999999E-7</v>
      </c>
      <c r="W205" s="85">
        <v>1.9999999999999999E-7</v>
      </c>
      <c r="X205" s="85"/>
      <c r="Y205" s="85">
        <v>1.9999999999999999E-7</v>
      </c>
      <c r="Z205" s="85">
        <v>1.9999999999999999E-7</v>
      </c>
      <c r="AA205" s="85">
        <v>1.9999999999999999E-7</v>
      </c>
      <c r="AB205" s="85">
        <v>1.9999999999999999E-7</v>
      </c>
      <c r="AD205" s="1" t="b">
        <f t="shared" si="69"/>
        <v>1</v>
      </c>
      <c r="AE205" s="85">
        <v>1.9999999999999999E-7</v>
      </c>
      <c r="AF205" s="85">
        <v>1.9999999999999999E-7</v>
      </c>
    </row>
    <row r="206" spans="1:32" x14ac:dyDescent="0.25">
      <c r="A206" s="29" t="s">
        <v>280</v>
      </c>
      <c r="B206" s="3" t="s">
        <v>468</v>
      </c>
      <c r="C206" s="2" t="s">
        <v>481</v>
      </c>
      <c r="D206" s="2" t="s">
        <v>523</v>
      </c>
      <c r="E206" s="30" t="s">
        <v>346</v>
      </c>
      <c r="F206" s="30" t="s">
        <v>110</v>
      </c>
      <c r="G206" s="65">
        <v>25</v>
      </c>
      <c r="H206" s="77">
        <v>25</v>
      </c>
      <c r="I206" s="77">
        <v>25</v>
      </c>
      <c r="J206" s="77">
        <v>25</v>
      </c>
      <c r="K206" s="77">
        <v>25</v>
      </c>
      <c r="L206" s="77"/>
      <c r="M206" s="77">
        <v>25</v>
      </c>
      <c r="N206" s="77">
        <v>25</v>
      </c>
      <c r="O206" s="77">
        <v>25</v>
      </c>
      <c r="P206" s="77">
        <v>25</v>
      </c>
      <c r="Q206" s="77">
        <v>25</v>
      </c>
      <c r="R206" s="77">
        <v>25</v>
      </c>
      <c r="S206" s="77">
        <v>25</v>
      </c>
      <c r="T206" s="77">
        <v>25</v>
      </c>
      <c r="U206" s="77">
        <v>25</v>
      </c>
      <c r="V206" s="77">
        <v>25</v>
      </c>
      <c r="W206" s="77">
        <v>25</v>
      </c>
      <c r="X206" s="77"/>
      <c r="Y206" s="77">
        <v>25</v>
      </c>
      <c r="Z206" s="77">
        <v>25</v>
      </c>
      <c r="AA206" s="77">
        <v>25</v>
      </c>
      <c r="AB206" s="77">
        <v>25</v>
      </c>
      <c r="AD206" s="1" t="b">
        <f t="shared" si="69"/>
        <v>1</v>
      </c>
      <c r="AE206" s="77">
        <v>25</v>
      </c>
      <c r="AF206" s="77">
        <v>25</v>
      </c>
    </row>
    <row r="207" spans="1:32" x14ac:dyDescent="0.25">
      <c r="A207" s="29" t="s">
        <v>281</v>
      </c>
      <c r="B207" s="3" t="s">
        <v>468</v>
      </c>
      <c r="C207" s="2" t="s">
        <v>481</v>
      </c>
      <c r="D207" s="2" t="s">
        <v>523</v>
      </c>
      <c r="E207" s="30" t="s">
        <v>347</v>
      </c>
      <c r="F207" s="30" t="s">
        <v>302</v>
      </c>
      <c r="G207" s="65">
        <v>0</v>
      </c>
      <c r="H207" s="77">
        <v>0</v>
      </c>
      <c r="I207" s="77">
        <v>0</v>
      </c>
      <c r="J207" s="77">
        <v>0</v>
      </c>
      <c r="K207" s="77">
        <v>0</v>
      </c>
      <c r="L207" s="77"/>
      <c r="M207" s="77">
        <v>0</v>
      </c>
      <c r="N207" s="77">
        <v>0</v>
      </c>
      <c r="O207" s="77">
        <v>0</v>
      </c>
      <c r="P207" s="77">
        <v>0</v>
      </c>
      <c r="Q207" s="77">
        <v>0</v>
      </c>
      <c r="R207" s="77">
        <v>0</v>
      </c>
      <c r="S207" s="77">
        <v>0</v>
      </c>
      <c r="T207" s="77">
        <v>0</v>
      </c>
      <c r="U207" s="77">
        <v>0</v>
      </c>
      <c r="V207" s="77">
        <v>0</v>
      </c>
      <c r="W207" s="77">
        <v>0</v>
      </c>
      <c r="X207" s="77"/>
      <c r="Y207" s="77">
        <v>0</v>
      </c>
      <c r="Z207" s="77">
        <v>0</v>
      </c>
      <c r="AA207" s="77">
        <v>0</v>
      </c>
      <c r="AB207" s="77">
        <v>0</v>
      </c>
      <c r="AD207" s="1" t="b">
        <f t="shared" si="69"/>
        <v>1</v>
      </c>
      <c r="AE207" s="77">
        <v>0</v>
      </c>
      <c r="AF207" s="77">
        <v>0</v>
      </c>
    </row>
    <row r="208" spans="1:32" x14ac:dyDescent="0.25">
      <c r="A208" s="29" t="s">
        <v>282</v>
      </c>
      <c r="B208" s="3" t="s">
        <v>468</v>
      </c>
      <c r="C208" s="2" t="s">
        <v>481</v>
      </c>
      <c r="D208" s="2" t="s">
        <v>523</v>
      </c>
      <c r="E208" s="30" t="s">
        <v>348</v>
      </c>
      <c r="F208" s="30" t="s">
        <v>101</v>
      </c>
      <c r="G208" s="65">
        <v>3.98</v>
      </c>
      <c r="H208" s="77">
        <v>3.98</v>
      </c>
      <c r="I208" s="77">
        <v>3.98</v>
      </c>
      <c r="J208" s="77">
        <v>3.98</v>
      </c>
      <c r="K208" s="77">
        <v>3.98</v>
      </c>
      <c r="L208" s="77"/>
      <c r="M208" s="77">
        <v>3.98</v>
      </c>
      <c r="N208" s="77">
        <v>3.98</v>
      </c>
      <c r="O208" s="77">
        <v>3.98</v>
      </c>
      <c r="P208" s="77">
        <v>3.98</v>
      </c>
      <c r="Q208" s="77">
        <v>3.98</v>
      </c>
      <c r="R208" s="77">
        <v>3.98</v>
      </c>
      <c r="S208" s="77">
        <v>3.98</v>
      </c>
      <c r="T208" s="77">
        <v>3.98</v>
      </c>
      <c r="U208" s="77">
        <v>3.98</v>
      </c>
      <c r="V208" s="77">
        <v>3.98</v>
      </c>
      <c r="W208" s="77">
        <v>3.98</v>
      </c>
      <c r="X208" s="77"/>
      <c r="Y208" s="77">
        <v>3.98</v>
      </c>
      <c r="Z208" s="77">
        <v>3.98</v>
      </c>
      <c r="AA208" s="77">
        <v>3.98</v>
      </c>
      <c r="AB208" s="77">
        <v>3.98</v>
      </c>
      <c r="AD208" s="1" t="b">
        <f t="shared" si="69"/>
        <v>1</v>
      </c>
      <c r="AE208" s="77">
        <v>3.98</v>
      </c>
      <c r="AF208" s="77">
        <v>3.98</v>
      </c>
    </row>
    <row r="209" spans="1:32" x14ac:dyDescent="0.25">
      <c r="A209" s="29" t="s">
        <v>283</v>
      </c>
      <c r="B209" s="3" t="s">
        <v>468</v>
      </c>
      <c r="C209" s="2" t="s">
        <v>481</v>
      </c>
      <c r="D209" s="2" t="s">
        <v>523</v>
      </c>
      <c r="E209" s="30" t="s">
        <v>349</v>
      </c>
      <c r="F209" s="30" t="s">
        <v>96</v>
      </c>
      <c r="G209" s="65">
        <v>1</v>
      </c>
      <c r="H209" s="77">
        <v>1</v>
      </c>
      <c r="I209" s="77">
        <v>1</v>
      </c>
      <c r="J209" s="77">
        <v>1</v>
      </c>
      <c r="K209" s="77">
        <v>1</v>
      </c>
      <c r="L209" s="77"/>
      <c r="M209" s="77">
        <v>1</v>
      </c>
      <c r="N209" s="77">
        <v>1</v>
      </c>
      <c r="O209" s="77">
        <v>1</v>
      </c>
      <c r="P209" s="77">
        <v>1</v>
      </c>
      <c r="Q209" s="77">
        <v>1</v>
      </c>
      <c r="R209" s="77">
        <v>1</v>
      </c>
      <c r="S209" s="77">
        <v>1</v>
      </c>
      <c r="T209" s="77">
        <v>1</v>
      </c>
      <c r="U209" s="77">
        <v>1</v>
      </c>
      <c r="V209" s="77">
        <v>1</v>
      </c>
      <c r="W209" s="77">
        <v>1</v>
      </c>
      <c r="X209" s="77"/>
      <c r="Y209" s="77">
        <v>1</v>
      </c>
      <c r="Z209" s="77">
        <v>1</v>
      </c>
      <c r="AA209" s="77">
        <v>1</v>
      </c>
      <c r="AB209" s="77">
        <v>1</v>
      </c>
      <c r="AD209" s="1" t="b">
        <f t="shared" si="69"/>
        <v>1</v>
      </c>
      <c r="AE209" s="77">
        <v>1</v>
      </c>
      <c r="AF209" s="77">
        <v>1</v>
      </c>
    </row>
    <row r="210" spans="1:32" x14ac:dyDescent="0.25">
      <c r="A210" s="29" t="s">
        <v>284</v>
      </c>
      <c r="B210" s="3" t="s">
        <v>468</v>
      </c>
      <c r="C210" s="2" t="s">
        <v>481</v>
      </c>
      <c r="D210" s="2" t="s">
        <v>523</v>
      </c>
      <c r="E210" s="30" t="s">
        <v>361</v>
      </c>
      <c r="F210" s="30" t="s">
        <v>360</v>
      </c>
      <c r="G210" s="49">
        <v>8.3333333333333331E-5</v>
      </c>
      <c r="H210" s="78">
        <v>8.3333333333333331E-5</v>
      </c>
      <c r="I210" s="78">
        <v>8.3333333333333331E-5</v>
      </c>
      <c r="J210" s="78">
        <v>8.3333333333333331E-5</v>
      </c>
      <c r="K210" s="78">
        <v>8.3333333333333331E-5</v>
      </c>
      <c r="L210" s="78"/>
      <c r="M210" s="78">
        <v>8.3333333333333331E-5</v>
      </c>
      <c r="N210" s="78">
        <v>8.3333333333333331E-5</v>
      </c>
      <c r="O210" s="78">
        <v>8.3333333333333331E-5</v>
      </c>
      <c r="P210" s="78">
        <v>8.3333333333333331E-5</v>
      </c>
      <c r="Q210" s="78">
        <v>8.3333333333333331E-5</v>
      </c>
      <c r="R210" s="78">
        <v>8.3333333333333331E-5</v>
      </c>
      <c r="S210" s="78">
        <v>8.3333333333333331E-5</v>
      </c>
      <c r="T210" s="78">
        <v>8.3333333333333331E-5</v>
      </c>
      <c r="U210" s="78">
        <v>8.3333333333333331E-5</v>
      </c>
      <c r="V210" s="78">
        <v>8.3333333333333331E-5</v>
      </c>
      <c r="W210" s="78">
        <v>8.3333333333333331E-5</v>
      </c>
      <c r="X210" s="78"/>
      <c r="Y210" s="78">
        <v>8.3333333333333331E-5</v>
      </c>
      <c r="Z210" s="78">
        <v>8.3333333333333331E-5</v>
      </c>
      <c r="AA210" s="78">
        <v>8.3333333333333331E-5</v>
      </c>
      <c r="AB210" s="78">
        <v>8.3333333333333331E-5</v>
      </c>
      <c r="AD210" s="1" t="b">
        <f t="shared" si="69"/>
        <v>1</v>
      </c>
      <c r="AE210" s="78">
        <v>8.3333333333333331E-5</v>
      </c>
      <c r="AF210" s="78">
        <v>8.3333333333333331E-5</v>
      </c>
    </row>
    <row r="211" spans="1:32" x14ac:dyDescent="0.25">
      <c r="A211" s="90" t="s">
        <v>362</v>
      </c>
      <c r="B211" s="91" t="s">
        <v>468</v>
      </c>
      <c r="C211" s="92" t="s">
        <v>481</v>
      </c>
      <c r="D211" s="2" t="s">
        <v>523</v>
      </c>
      <c r="E211" s="93" t="s">
        <v>204</v>
      </c>
      <c r="F211" s="93" t="s">
        <v>92</v>
      </c>
      <c r="G211" s="94" t="s">
        <v>90</v>
      </c>
      <c r="H211" s="95" t="s">
        <v>90</v>
      </c>
      <c r="I211" s="95" t="s">
        <v>90</v>
      </c>
      <c r="J211" s="95" t="s">
        <v>90</v>
      </c>
      <c r="K211" s="95" t="s">
        <v>90</v>
      </c>
      <c r="L211" s="95"/>
      <c r="M211" s="95" t="s">
        <v>90</v>
      </c>
      <c r="N211" s="95" t="s">
        <v>90</v>
      </c>
      <c r="O211" s="95" t="s">
        <v>90</v>
      </c>
      <c r="P211" s="95" t="s">
        <v>90</v>
      </c>
      <c r="Q211" s="95" t="s">
        <v>90</v>
      </c>
      <c r="R211" s="95" t="s">
        <v>90</v>
      </c>
      <c r="S211" s="95" t="s">
        <v>90</v>
      </c>
      <c r="T211" s="95" t="s">
        <v>90</v>
      </c>
      <c r="U211" s="95" t="s">
        <v>90</v>
      </c>
      <c r="V211" s="95" t="s">
        <v>90</v>
      </c>
      <c r="W211" s="95" t="s">
        <v>90</v>
      </c>
      <c r="X211" s="95"/>
      <c r="Y211" s="95" t="s">
        <v>90</v>
      </c>
      <c r="Z211" s="95" t="s">
        <v>90</v>
      </c>
      <c r="AA211" s="95" t="s">
        <v>90</v>
      </c>
      <c r="AB211" s="95" t="s">
        <v>90</v>
      </c>
      <c r="AD211" s="1" t="b">
        <f t="shared" si="69"/>
        <v>1</v>
      </c>
      <c r="AE211" s="95" t="s">
        <v>90</v>
      </c>
      <c r="AF211" s="95" t="s">
        <v>90</v>
      </c>
    </row>
    <row r="212" spans="1:32" s="96" customFormat="1" x14ac:dyDescent="0.25">
      <c r="A212" s="2" t="s">
        <v>548</v>
      </c>
      <c r="B212" s="3" t="s">
        <v>468</v>
      </c>
      <c r="C212" s="2" t="s">
        <v>599</v>
      </c>
      <c r="D212" s="2" t="s">
        <v>600</v>
      </c>
      <c r="E212" s="30" t="s">
        <v>549</v>
      </c>
      <c r="F212" s="30" t="s">
        <v>550</v>
      </c>
      <c r="G212" s="2">
        <v>0.5</v>
      </c>
      <c r="H212" s="83">
        <f t="shared" ref="H212:J212" si="70">0.00002</f>
        <v>2.0000000000000002E-5</v>
      </c>
      <c r="I212" s="83">
        <f t="shared" si="70"/>
        <v>2.0000000000000002E-5</v>
      </c>
      <c r="J212" s="83">
        <f t="shared" si="70"/>
        <v>2.0000000000000002E-5</v>
      </c>
      <c r="K212" s="83">
        <f>0.00005 / 100</f>
        <v>4.9999999999999998E-7</v>
      </c>
      <c r="L212" s="83"/>
      <c r="M212" s="83">
        <f>0.00005 / 100</f>
        <v>4.9999999999999998E-7</v>
      </c>
      <c r="N212" s="83">
        <f>0.00005 / 100</f>
        <v>4.9999999999999998E-7</v>
      </c>
      <c r="O212" s="83">
        <f>0.00005 / 100</f>
        <v>4.9999999999999998E-7</v>
      </c>
      <c r="P212" s="83">
        <f>0.00005 / 100</f>
        <v>4.9999999999999998E-7</v>
      </c>
      <c r="Q212" s="83">
        <f>0.00005 / 100 /10</f>
        <v>4.9999999999999998E-8</v>
      </c>
      <c r="R212" s="83">
        <f>0.00005 / 100 /2</f>
        <v>2.4999999999999999E-7</v>
      </c>
      <c r="S212" s="83">
        <f>0.00005 / 100 * 5</f>
        <v>2.4999999999999998E-6</v>
      </c>
      <c r="T212" s="83">
        <f>0.00005 / 100 * 5 * 10</f>
        <v>2.4999999999999998E-5</v>
      </c>
      <c r="U212" s="83">
        <f>0.00005 / 100 * 5 * 100</f>
        <v>2.5000000000000001E-4</v>
      </c>
      <c r="V212" s="83">
        <f>0.00005 / 100 * 2</f>
        <v>9.9999999999999995E-7</v>
      </c>
      <c r="W212" s="83">
        <f>0.00005 / 100 * 10</f>
        <v>4.9999999999999996E-6</v>
      </c>
      <c r="X212" s="83"/>
      <c r="Y212" s="83">
        <f>0.00005 / 100</f>
        <v>4.9999999999999998E-7</v>
      </c>
      <c r="Z212" s="83">
        <f>0.00005 / 100</f>
        <v>4.9999999999999998E-7</v>
      </c>
      <c r="AA212" s="83">
        <f>0.00005 / 100</f>
        <v>4.9999999999999998E-7</v>
      </c>
      <c r="AB212" s="83">
        <f>0.00005 / 100</f>
        <v>4.9999999999999998E-7</v>
      </c>
      <c r="AC212" s="1"/>
      <c r="AD212" s="1" t="b">
        <f t="shared" si="69"/>
        <v>1</v>
      </c>
      <c r="AE212" s="2">
        <v>0.01</v>
      </c>
      <c r="AF212" s="2">
        <v>0.01</v>
      </c>
    </row>
    <row r="213" spans="1:32" s="96" customFormat="1" x14ac:dyDescent="0.25">
      <c r="A213" s="2" t="s">
        <v>551</v>
      </c>
      <c r="B213" s="3" t="s">
        <v>468</v>
      </c>
      <c r="C213" s="2" t="s">
        <v>599</v>
      </c>
      <c r="D213" s="2" t="s">
        <v>600</v>
      </c>
      <c r="E213" s="30" t="s">
        <v>552</v>
      </c>
      <c r="F213" s="30" t="s">
        <v>553</v>
      </c>
      <c r="G213" s="98">
        <v>-100000</v>
      </c>
      <c r="H213" s="83">
        <v>0.3</v>
      </c>
      <c r="I213" s="83">
        <v>0.1</v>
      </c>
      <c r="J213" s="83">
        <v>0.1</v>
      </c>
      <c r="K213" s="83">
        <v>0.1</v>
      </c>
      <c r="L213" s="83"/>
      <c r="M213" s="83">
        <v>0.3</v>
      </c>
      <c r="N213" s="83">
        <v>0.3</v>
      </c>
      <c r="O213" s="83">
        <v>0.3</v>
      </c>
      <c r="P213" s="83">
        <v>0.3</v>
      </c>
      <c r="Q213" s="83">
        <v>0.3</v>
      </c>
      <c r="R213" s="83">
        <v>0.3</v>
      </c>
      <c r="S213" s="83">
        <v>0.3</v>
      </c>
      <c r="T213" s="83">
        <v>0.3</v>
      </c>
      <c r="U213" s="83">
        <v>0.3</v>
      </c>
      <c r="V213" s="83">
        <v>0.3</v>
      </c>
      <c r="W213" s="83">
        <v>0.3</v>
      </c>
      <c r="X213" s="83"/>
      <c r="Y213" s="83">
        <v>0.3</v>
      </c>
      <c r="Z213" s="83">
        <v>0.3</v>
      </c>
      <c r="AA213" s="83">
        <v>0.3</v>
      </c>
      <c r="AB213" s="83">
        <v>0.1</v>
      </c>
      <c r="AC213" s="1"/>
      <c r="AD213" s="1" t="b">
        <f t="shared" si="69"/>
        <v>0</v>
      </c>
      <c r="AE213" s="99">
        <v>0</v>
      </c>
      <c r="AF213" s="99">
        <v>0</v>
      </c>
    </row>
    <row r="214" spans="1:32" s="96" customFormat="1" x14ac:dyDescent="0.25">
      <c r="A214" s="2" t="s">
        <v>554</v>
      </c>
      <c r="B214" s="3" t="s">
        <v>468</v>
      </c>
      <c r="C214" s="2" t="s">
        <v>599</v>
      </c>
      <c r="D214" s="2" t="s">
        <v>600</v>
      </c>
      <c r="E214" s="96" t="s">
        <v>502</v>
      </c>
      <c r="F214" s="96" t="s">
        <v>489</v>
      </c>
      <c r="G214" s="100">
        <v>0.5</v>
      </c>
      <c r="H214" s="83">
        <f t="shared" ref="H214:AB214" si="71">0.00002 / 14</f>
        <v>1.4285714285714286E-6</v>
      </c>
      <c r="I214" s="83">
        <f t="shared" si="71"/>
        <v>1.4285714285714286E-6</v>
      </c>
      <c r="J214" s="83">
        <v>2E-3</v>
      </c>
      <c r="K214" s="83">
        <f t="shared" si="71"/>
        <v>1.4285714285714286E-6</v>
      </c>
      <c r="L214" s="83"/>
      <c r="M214" s="83">
        <f t="shared" si="71"/>
        <v>1.4285714285714286E-6</v>
      </c>
      <c r="N214" s="83">
        <f t="shared" si="71"/>
        <v>1.4285714285714286E-6</v>
      </c>
      <c r="O214" s="83">
        <f t="shared" si="71"/>
        <v>1.4285714285714286E-6</v>
      </c>
      <c r="P214" s="83">
        <f t="shared" si="71"/>
        <v>1.4285714285714286E-6</v>
      </c>
      <c r="Q214" s="83">
        <f t="shared" si="71"/>
        <v>1.4285714285714286E-6</v>
      </c>
      <c r="R214" s="83">
        <f t="shared" si="71"/>
        <v>1.4285714285714286E-6</v>
      </c>
      <c r="S214" s="83">
        <f t="shared" si="71"/>
        <v>1.4285714285714286E-6</v>
      </c>
      <c r="T214" s="83">
        <f t="shared" si="71"/>
        <v>1.4285714285714286E-6</v>
      </c>
      <c r="U214" s="83">
        <f t="shared" si="71"/>
        <v>1.4285714285714286E-6</v>
      </c>
      <c r="V214" s="83">
        <f t="shared" si="71"/>
        <v>1.4285714285714286E-6</v>
      </c>
      <c r="W214" s="83">
        <f t="shared" si="71"/>
        <v>1.4285714285714286E-6</v>
      </c>
      <c r="X214" s="83"/>
      <c r="Y214" s="83">
        <f t="shared" si="71"/>
        <v>1.4285714285714286E-6</v>
      </c>
      <c r="Z214" s="83">
        <f t="shared" si="71"/>
        <v>1.4285714285714286E-6</v>
      </c>
      <c r="AA214" s="83">
        <f t="shared" si="71"/>
        <v>1.4285714285714286E-6</v>
      </c>
      <c r="AB214" s="83">
        <f t="shared" si="71"/>
        <v>1.4285714285714286E-6</v>
      </c>
      <c r="AC214" s="1"/>
      <c r="AD214" s="1" t="b">
        <f t="shared" si="69"/>
        <v>1</v>
      </c>
      <c r="AE214" s="100">
        <v>1</v>
      </c>
      <c r="AF214" s="100">
        <v>0.01</v>
      </c>
    </row>
    <row r="215" spans="1:32" s="96" customFormat="1" x14ac:dyDescent="0.25">
      <c r="A215" s="2" t="s">
        <v>498</v>
      </c>
      <c r="B215" s="3" t="s">
        <v>468</v>
      </c>
      <c r="C215" s="2" t="s">
        <v>599</v>
      </c>
      <c r="D215" s="2" t="s">
        <v>600</v>
      </c>
      <c r="E215" s="96" t="s">
        <v>503</v>
      </c>
      <c r="F215" s="96" t="s">
        <v>501</v>
      </c>
      <c r="G215" s="100" t="s">
        <v>473</v>
      </c>
      <c r="H215" s="83" t="s">
        <v>473</v>
      </c>
      <c r="I215" s="83" t="s">
        <v>473</v>
      </c>
      <c r="J215" s="83">
        <v>0.1</v>
      </c>
      <c r="K215" s="83" t="s">
        <v>473</v>
      </c>
      <c r="L215" s="83"/>
      <c r="M215" s="83" t="s">
        <v>473</v>
      </c>
      <c r="N215" s="83" t="s">
        <v>473</v>
      </c>
      <c r="O215" s="83" t="s">
        <v>473</v>
      </c>
      <c r="P215" s="83" t="s">
        <v>473</v>
      </c>
      <c r="Q215" s="83" t="s">
        <v>473</v>
      </c>
      <c r="R215" s="83" t="s">
        <v>473</v>
      </c>
      <c r="S215" s="83" t="s">
        <v>473</v>
      </c>
      <c r="T215" s="83" t="s">
        <v>473</v>
      </c>
      <c r="U215" s="83" t="s">
        <v>473</v>
      </c>
      <c r="V215" s="83" t="s">
        <v>473</v>
      </c>
      <c r="W215" s="83" t="s">
        <v>473</v>
      </c>
      <c r="X215" s="83"/>
      <c r="Y215" s="83" t="s">
        <v>473</v>
      </c>
      <c r="Z215" s="83" t="s">
        <v>473</v>
      </c>
      <c r="AA215" s="83" t="s">
        <v>473</v>
      </c>
      <c r="AB215" s="83" t="s">
        <v>473</v>
      </c>
      <c r="AC215" s="1"/>
      <c r="AD215" s="1" t="b">
        <f t="shared" si="69"/>
        <v>1</v>
      </c>
      <c r="AE215" s="98">
        <v>0.1</v>
      </c>
      <c r="AF215" s="98" t="s">
        <v>473</v>
      </c>
    </row>
    <row r="216" spans="1:32" s="96" customFormat="1" x14ac:dyDescent="0.25">
      <c r="A216" s="2" t="s">
        <v>499</v>
      </c>
      <c r="B216" s="3" t="s">
        <v>468</v>
      </c>
      <c r="C216" s="2" t="s">
        <v>599</v>
      </c>
      <c r="D216" s="2" t="s">
        <v>600</v>
      </c>
      <c r="E216" s="96" t="s">
        <v>504</v>
      </c>
      <c r="F216" s="96" t="s">
        <v>501</v>
      </c>
      <c r="G216" s="100">
        <v>0</v>
      </c>
      <c r="H216" s="83">
        <v>0</v>
      </c>
      <c r="I216" s="83">
        <v>0</v>
      </c>
      <c r="J216" s="83">
        <v>0.04</v>
      </c>
      <c r="K216" s="83">
        <v>0</v>
      </c>
      <c r="L216" s="83"/>
      <c r="M216" s="83">
        <v>0</v>
      </c>
      <c r="N216" s="83">
        <v>0</v>
      </c>
      <c r="O216" s="83">
        <v>0</v>
      </c>
      <c r="P216" s="83">
        <v>0</v>
      </c>
      <c r="Q216" s="83">
        <v>0</v>
      </c>
      <c r="R216" s="83">
        <v>0</v>
      </c>
      <c r="S216" s="83">
        <v>0</v>
      </c>
      <c r="T216" s="83">
        <v>0</v>
      </c>
      <c r="U216" s="83">
        <v>0</v>
      </c>
      <c r="V216" s="83">
        <v>0</v>
      </c>
      <c r="W216" s="83">
        <v>0</v>
      </c>
      <c r="X216" s="83"/>
      <c r="Y216" s="83">
        <v>0</v>
      </c>
      <c r="Z216" s="83">
        <v>0</v>
      </c>
      <c r="AA216" s="83">
        <v>0</v>
      </c>
      <c r="AB216" s="83">
        <v>0</v>
      </c>
      <c r="AC216" s="1"/>
      <c r="AD216" s="1" t="b">
        <f t="shared" si="69"/>
        <v>1</v>
      </c>
      <c r="AE216" s="98">
        <v>0.04</v>
      </c>
      <c r="AF216" s="98">
        <v>0.04</v>
      </c>
    </row>
    <row r="217" spans="1:32" s="96" customFormat="1" x14ac:dyDescent="0.25">
      <c r="A217" s="2" t="s">
        <v>500</v>
      </c>
      <c r="B217" s="3" t="s">
        <v>468</v>
      </c>
      <c r="C217" s="2" t="s">
        <v>599</v>
      </c>
      <c r="D217" s="2" t="s">
        <v>600</v>
      </c>
      <c r="E217" s="96" t="s">
        <v>505</v>
      </c>
      <c r="F217" s="96" t="s">
        <v>501</v>
      </c>
      <c r="G217" s="100">
        <v>1E-3</v>
      </c>
      <c r="H217" s="83">
        <v>1E-3</v>
      </c>
      <c r="I217" s="83">
        <v>1E-3</v>
      </c>
      <c r="J217" s="83">
        <v>1E-3</v>
      </c>
      <c r="K217" s="83">
        <v>1E-3</v>
      </c>
      <c r="L217" s="83"/>
      <c r="M217" s="83">
        <v>1E-3</v>
      </c>
      <c r="N217" s="83">
        <v>1E-3</v>
      </c>
      <c r="O217" s="83">
        <v>1E-3</v>
      </c>
      <c r="P217" s="83">
        <v>1E-3</v>
      </c>
      <c r="Q217" s="83">
        <v>1E-3</v>
      </c>
      <c r="R217" s="83">
        <v>1E-3</v>
      </c>
      <c r="S217" s="83">
        <v>1E-3</v>
      </c>
      <c r="T217" s="83">
        <v>1E-3</v>
      </c>
      <c r="U217" s="83">
        <v>1E-3</v>
      </c>
      <c r="V217" s="83">
        <v>1E-3</v>
      </c>
      <c r="W217" s="83">
        <v>1E-3</v>
      </c>
      <c r="X217" s="83"/>
      <c r="Y217" s="83">
        <v>1E-3</v>
      </c>
      <c r="Z217" s="83">
        <v>1E-3</v>
      </c>
      <c r="AA217" s="83">
        <v>1E-3</v>
      </c>
      <c r="AB217" s="83">
        <v>1E-3</v>
      </c>
      <c r="AC217" s="1"/>
      <c r="AD217" s="1" t="b">
        <f t="shared" si="69"/>
        <v>1</v>
      </c>
      <c r="AE217" s="98">
        <v>1E-3</v>
      </c>
      <c r="AF217" s="98">
        <v>1E-3</v>
      </c>
    </row>
    <row r="218" spans="1:32" x14ac:dyDescent="0.25">
      <c r="A218" s="2" t="s">
        <v>506</v>
      </c>
      <c r="B218" s="3" t="s">
        <v>468</v>
      </c>
      <c r="C218" s="2" t="s">
        <v>481</v>
      </c>
      <c r="D218" s="2" t="s">
        <v>523</v>
      </c>
      <c r="E218" s="96" t="s">
        <v>507</v>
      </c>
      <c r="F218" s="96" t="s">
        <v>508</v>
      </c>
      <c r="G218" s="99">
        <f>1.25*0.000001</f>
        <v>1.2499999999999999E-6</v>
      </c>
      <c r="H218" s="99">
        <f t="shared" ref="H218:AB218" si="72">1250*0.000001/5</f>
        <v>2.5000000000000001E-4</v>
      </c>
      <c r="I218" s="99">
        <f t="shared" si="72"/>
        <v>2.5000000000000001E-4</v>
      </c>
      <c r="J218" s="99">
        <f t="shared" si="72"/>
        <v>2.5000000000000001E-4</v>
      </c>
      <c r="K218" s="99">
        <f t="shared" si="72"/>
        <v>2.5000000000000001E-4</v>
      </c>
      <c r="L218" s="99"/>
      <c r="M218" s="99">
        <f t="shared" si="72"/>
        <v>2.5000000000000001E-4</v>
      </c>
      <c r="N218" s="99">
        <f t="shared" si="72"/>
        <v>2.5000000000000001E-4</v>
      </c>
      <c r="O218" s="99">
        <f t="shared" si="72"/>
        <v>2.5000000000000001E-4</v>
      </c>
      <c r="P218" s="99">
        <f t="shared" si="72"/>
        <v>2.5000000000000001E-4</v>
      </c>
      <c r="Q218" s="99">
        <f t="shared" si="72"/>
        <v>2.5000000000000001E-4</v>
      </c>
      <c r="R218" s="99">
        <f t="shared" si="72"/>
        <v>2.5000000000000001E-4</v>
      </c>
      <c r="S218" s="99">
        <f t="shared" si="72"/>
        <v>2.5000000000000001E-4</v>
      </c>
      <c r="T218" s="99">
        <f t="shared" si="72"/>
        <v>2.5000000000000001E-4</v>
      </c>
      <c r="U218" s="99">
        <f t="shared" si="72"/>
        <v>2.5000000000000001E-4</v>
      </c>
      <c r="V218" s="99">
        <f t="shared" si="72"/>
        <v>2.5000000000000001E-4</v>
      </c>
      <c r="W218" s="99">
        <f t="shared" si="72"/>
        <v>2.5000000000000001E-4</v>
      </c>
      <c r="X218" s="99"/>
      <c r="Y218" s="99">
        <f t="shared" si="72"/>
        <v>2.5000000000000001E-4</v>
      </c>
      <c r="Z218" s="99">
        <f t="shared" si="72"/>
        <v>2.5000000000000001E-4</v>
      </c>
      <c r="AA218" s="99">
        <f t="shared" si="72"/>
        <v>2.5000000000000001E-4</v>
      </c>
      <c r="AB218" s="99">
        <f t="shared" si="72"/>
        <v>2.5000000000000001E-4</v>
      </c>
      <c r="AD218" s="1" t="b">
        <f t="shared" si="69"/>
        <v>1</v>
      </c>
      <c r="AE218" s="99">
        <v>2.5000000000000001E-4</v>
      </c>
      <c r="AF218" s="99">
        <v>2.5000000000000001E-4</v>
      </c>
    </row>
    <row r="219" spans="1:32" x14ac:dyDescent="0.25">
      <c r="A219" s="2" t="s">
        <v>509</v>
      </c>
      <c r="B219" s="3" t="s">
        <v>468</v>
      </c>
      <c r="C219" s="2" t="s">
        <v>481</v>
      </c>
      <c r="D219" s="2" t="s">
        <v>523</v>
      </c>
      <c r="E219" s="96" t="s">
        <v>510</v>
      </c>
      <c r="F219" s="96" t="s">
        <v>511</v>
      </c>
      <c r="G219" s="99">
        <v>2.0000000000000001E-4</v>
      </c>
      <c r="H219" s="99">
        <v>2.0000000000000001E-4</v>
      </c>
      <c r="I219" s="99">
        <v>2.0000000000000001E-4</v>
      </c>
      <c r="J219" s="99">
        <v>2.0000000000000001E-4</v>
      </c>
      <c r="K219" s="99">
        <v>2.0000000000000001E-4</v>
      </c>
      <c r="L219" s="99"/>
      <c r="M219" s="99">
        <v>2.0000000000000001E-4</v>
      </c>
      <c r="N219" s="99">
        <v>2.0000000000000001E-4</v>
      </c>
      <c r="O219" s="99">
        <v>2.0000000000000001E-4</v>
      </c>
      <c r="P219" s="99">
        <v>2.0000000000000001E-4</v>
      </c>
      <c r="Q219" s="99">
        <v>2.0000000000000001E-4</v>
      </c>
      <c r="R219" s="99">
        <v>2.0000000000000001E-4</v>
      </c>
      <c r="S219" s="99">
        <v>2.0000000000000001E-4</v>
      </c>
      <c r="T219" s="99">
        <v>2.0000000000000001E-4</v>
      </c>
      <c r="U219" s="99">
        <v>2.0000000000000001E-4</v>
      </c>
      <c r="V219" s="99">
        <v>2.0000000000000001E-4</v>
      </c>
      <c r="W219" s="99">
        <v>2.0000000000000001E-4</v>
      </c>
      <c r="X219" s="99"/>
      <c r="Y219" s="99">
        <v>2.0000000000000001E-4</v>
      </c>
      <c r="Z219" s="99">
        <v>2.0000000000000001E-4</v>
      </c>
      <c r="AA219" s="99">
        <v>2.0000000000000001E-4</v>
      </c>
      <c r="AB219" s="99">
        <v>2.0000000000000001E-4</v>
      </c>
      <c r="AD219" s="1" t="b">
        <f t="shared" si="69"/>
        <v>1</v>
      </c>
      <c r="AE219" s="99">
        <v>2.0000000000000001E-4</v>
      </c>
      <c r="AF219" s="99">
        <v>2.0000000000000001E-4</v>
      </c>
    </row>
    <row r="220" spans="1:32" x14ac:dyDescent="0.25">
      <c r="A220" s="2" t="s">
        <v>525</v>
      </c>
      <c r="B220" s="3" t="s">
        <v>468</v>
      </c>
      <c r="C220" s="2" t="s">
        <v>481</v>
      </c>
      <c r="D220" s="2" t="s">
        <v>523</v>
      </c>
      <c r="E220" s="96" t="s">
        <v>535</v>
      </c>
      <c r="F220" s="96" t="s">
        <v>536</v>
      </c>
      <c r="G220" s="99">
        <v>2.4999999999999998E-12</v>
      </c>
      <c r="H220" s="83">
        <v>2.4999999999999999E-13</v>
      </c>
      <c r="I220" s="83">
        <f xml:space="preserve"> 0.0000000000025 * 10</f>
        <v>2.4999999999999998E-11</v>
      </c>
      <c r="J220" s="83">
        <v>2.4999999999999999E-13</v>
      </c>
      <c r="K220" s="83">
        <f xml:space="preserve"> 0.0000000000025</f>
        <v>2.4999999999999998E-12</v>
      </c>
      <c r="L220" s="83"/>
      <c r="M220" s="83">
        <f xml:space="preserve"> 0.0000000000025*10</f>
        <v>2.4999999999999998E-11</v>
      </c>
      <c r="N220" s="83">
        <f xml:space="preserve"> 0.0000000000025*10</f>
        <v>2.4999999999999998E-11</v>
      </c>
      <c r="O220" s="83">
        <f xml:space="preserve"> 0.0000000000025*10</f>
        <v>2.4999999999999998E-11</v>
      </c>
      <c r="P220" s="83">
        <f t="shared" ref="P220:Y220" si="73" xml:space="preserve"> 0.0000000000025</f>
        <v>2.4999999999999998E-12</v>
      </c>
      <c r="Q220" s="83">
        <f t="shared" si="73"/>
        <v>2.4999999999999998E-12</v>
      </c>
      <c r="R220" s="83">
        <f t="shared" si="73"/>
        <v>2.4999999999999998E-12</v>
      </c>
      <c r="S220" s="83">
        <f t="shared" si="73"/>
        <v>2.4999999999999998E-12</v>
      </c>
      <c r="T220" s="83">
        <f t="shared" si="73"/>
        <v>2.4999999999999998E-12</v>
      </c>
      <c r="U220" s="83">
        <f t="shared" si="73"/>
        <v>2.4999999999999998E-12</v>
      </c>
      <c r="V220" s="83">
        <f t="shared" si="73"/>
        <v>2.4999999999999998E-12</v>
      </c>
      <c r="W220" s="83">
        <f t="shared" si="73"/>
        <v>2.4999999999999998E-12</v>
      </c>
      <c r="X220" s="83"/>
      <c r="Y220" s="83">
        <f t="shared" si="73"/>
        <v>2.4999999999999998E-12</v>
      </c>
      <c r="Z220" s="83">
        <f xml:space="preserve"> 0.0000000000025</f>
        <v>2.4999999999999998E-12</v>
      </c>
      <c r="AA220" s="83">
        <f xml:space="preserve"> 0.0000000000025</f>
        <v>2.4999999999999998E-12</v>
      </c>
      <c r="AB220" s="83">
        <f xml:space="preserve"> 0.0000000000025</f>
        <v>2.4999999999999998E-12</v>
      </c>
      <c r="AD220" s="1" t="b">
        <f t="shared" si="69"/>
        <v>0</v>
      </c>
    </row>
    <row r="221" spans="1:32" x14ac:dyDescent="0.25">
      <c r="A221" s="2" t="s">
        <v>526</v>
      </c>
      <c r="B221" s="3" t="s">
        <v>468</v>
      </c>
      <c r="C221" s="2" t="s">
        <v>481</v>
      </c>
      <c r="D221" s="2" t="s">
        <v>523</v>
      </c>
      <c r="E221" s="96" t="s">
        <v>537</v>
      </c>
      <c r="F221" s="96" t="s">
        <v>536</v>
      </c>
      <c r="G221" s="99">
        <v>1.2E-8</v>
      </c>
      <c r="H221" s="83">
        <f>0.000000012 / 100</f>
        <v>1.2E-10</v>
      </c>
      <c r="I221" s="83">
        <f>0.000000012 / 100 / 2</f>
        <v>6E-11</v>
      </c>
      <c r="J221" s="83">
        <f>0.000000012 / 100</f>
        <v>1.2E-10</v>
      </c>
      <c r="K221" s="83">
        <f>0.00000000005</f>
        <v>5.0000000000000002E-11</v>
      </c>
      <c r="L221" s="83"/>
      <c r="M221" s="83">
        <f>0.00000000005 *2 / 100</f>
        <v>9.9999999999999998E-13</v>
      </c>
      <c r="N221" s="83">
        <f>0.00000000005 *2 / 100</f>
        <v>9.9999999999999998E-13</v>
      </c>
      <c r="O221" s="83">
        <f>0.00000000005 *2</f>
        <v>1E-10</v>
      </c>
      <c r="P221" s="83">
        <f t="shared" ref="P221:Y221" si="74">0.00000000005 / 10 / 8</f>
        <v>6.2500000000000006E-13</v>
      </c>
      <c r="Q221" s="83">
        <f t="shared" si="74"/>
        <v>6.2500000000000006E-13</v>
      </c>
      <c r="R221" s="83">
        <f t="shared" si="74"/>
        <v>6.2500000000000006E-13</v>
      </c>
      <c r="S221" s="83">
        <f t="shared" si="74"/>
        <v>6.2500000000000006E-13</v>
      </c>
      <c r="T221" s="83">
        <f t="shared" si="74"/>
        <v>6.2500000000000006E-13</v>
      </c>
      <c r="U221" s="83">
        <f t="shared" si="74"/>
        <v>6.2500000000000006E-13</v>
      </c>
      <c r="V221" s="83">
        <f t="shared" si="74"/>
        <v>6.2500000000000006E-13</v>
      </c>
      <c r="W221" s="83">
        <f t="shared" si="74"/>
        <v>6.2500000000000006E-13</v>
      </c>
      <c r="X221" s="83"/>
      <c r="Y221" s="83">
        <f t="shared" si="74"/>
        <v>6.2500000000000006E-13</v>
      </c>
      <c r="Z221" s="83">
        <f>0.00000000005 / 10 / 8</f>
        <v>6.2500000000000006E-13</v>
      </c>
      <c r="AA221" s="83">
        <f>0.00000000005 / 10 / 8</f>
        <v>6.2500000000000006E-13</v>
      </c>
      <c r="AB221" s="83">
        <f>0.00000000005</f>
        <v>5.0000000000000002E-11</v>
      </c>
      <c r="AD221" s="1" t="b">
        <f t="shared" si="69"/>
        <v>0</v>
      </c>
    </row>
    <row r="222" spans="1:32" x14ac:dyDescent="0.25">
      <c r="A222" s="2" t="s">
        <v>560</v>
      </c>
      <c r="B222" s="3" t="s">
        <v>468</v>
      </c>
      <c r="C222" s="2" t="s">
        <v>481</v>
      </c>
      <c r="D222" s="2" t="s">
        <v>523</v>
      </c>
      <c r="E222" s="96" t="s">
        <v>537</v>
      </c>
      <c r="F222" s="96" t="s">
        <v>541</v>
      </c>
      <c r="G222" s="99">
        <v>9.9999999999999995E-8</v>
      </c>
      <c r="H222" s="83"/>
      <c r="I222" s="83"/>
      <c r="J222" s="83"/>
      <c r="K222" s="83">
        <f>0.0000001 * 10 /2</f>
        <v>4.9999999999999998E-7</v>
      </c>
      <c r="L222" s="83"/>
      <c r="M222" s="83">
        <f>0.0000001 * 10 /2 / 100</f>
        <v>5.0000000000000001E-9</v>
      </c>
      <c r="N222" s="83">
        <f>0.0000001 * 10 /2 / 100 /2</f>
        <v>2.5000000000000001E-9</v>
      </c>
      <c r="O222" s="83">
        <v>0</v>
      </c>
      <c r="P222" s="83">
        <f t="shared" ref="P222:Y222" si="75">0.0000001 / 2</f>
        <v>4.9999999999999998E-8</v>
      </c>
      <c r="Q222" s="83">
        <f t="shared" si="75"/>
        <v>4.9999999999999998E-8</v>
      </c>
      <c r="R222" s="83">
        <f t="shared" si="75"/>
        <v>4.9999999999999998E-8</v>
      </c>
      <c r="S222" s="83">
        <f t="shared" si="75"/>
        <v>4.9999999999999998E-8</v>
      </c>
      <c r="T222" s="83">
        <f t="shared" si="75"/>
        <v>4.9999999999999998E-8</v>
      </c>
      <c r="U222" s="83">
        <f t="shared" si="75"/>
        <v>4.9999999999999998E-8</v>
      </c>
      <c r="V222" s="83">
        <f t="shared" si="75"/>
        <v>4.9999999999999998E-8</v>
      </c>
      <c r="W222" s="83">
        <f t="shared" si="75"/>
        <v>4.9999999999999998E-8</v>
      </c>
      <c r="X222" s="83"/>
      <c r="Y222" s="83">
        <f t="shared" si="75"/>
        <v>4.9999999999999998E-8</v>
      </c>
      <c r="Z222" s="83">
        <f>0.0000001 / 2</f>
        <v>4.9999999999999998E-8</v>
      </c>
      <c r="AA222" s="83">
        <f>0.0000001 / 2</f>
        <v>4.9999999999999998E-8</v>
      </c>
      <c r="AB222" s="83">
        <f>0.0000001 * 10 /2</f>
        <v>4.9999999999999998E-7</v>
      </c>
      <c r="AD222" s="1" t="b">
        <f t="shared" si="69"/>
        <v>0</v>
      </c>
    </row>
    <row r="223" spans="1:32" x14ac:dyDescent="0.25">
      <c r="A223" s="2" t="s">
        <v>562</v>
      </c>
      <c r="B223" s="3" t="s">
        <v>468</v>
      </c>
      <c r="C223" s="2" t="s">
        <v>481</v>
      </c>
      <c r="D223" s="2" t="s">
        <v>523</v>
      </c>
      <c r="E223" s="96" t="s">
        <v>563</v>
      </c>
      <c r="F223" s="96" t="s">
        <v>489</v>
      </c>
      <c r="G223" s="99">
        <v>100</v>
      </c>
      <c r="H223" s="83"/>
      <c r="I223" s="83"/>
      <c r="J223" s="83"/>
      <c r="K223" s="83">
        <f>100</f>
        <v>100</v>
      </c>
      <c r="L223" s="83"/>
      <c r="M223" s="83">
        <v>1000</v>
      </c>
      <c r="N223" s="83">
        <v>1000</v>
      </c>
      <c r="O223" s="83">
        <f>100</f>
        <v>100</v>
      </c>
      <c r="P223" s="83">
        <f>100</f>
        <v>100</v>
      </c>
      <c r="Q223" s="83">
        <f>100</f>
        <v>100</v>
      </c>
      <c r="R223" s="83">
        <f>100</f>
        <v>100</v>
      </c>
      <c r="S223" s="83">
        <f>100</f>
        <v>100</v>
      </c>
      <c r="T223" s="83">
        <f>100</f>
        <v>100</v>
      </c>
      <c r="U223" s="83">
        <f>100</f>
        <v>100</v>
      </c>
      <c r="V223" s="83">
        <f>100</f>
        <v>100</v>
      </c>
      <c r="W223" s="83">
        <f>100</f>
        <v>100</v>
      </c>
      <c r="X223" s="83"/>
      <c r="Y223" s="83">
        <f>100</f>
        <v>100</v>
      </c>
      <c r="Z223" s="83">
        <f>100</f>
        <v>100</v>
      </c>
      <c r="AA223" s="83">
        <f>100</f>
        <v>100</v>
      </c>
      <c r="AB223" s="83">
        <f>100</f>
        <v>100</v>
      </c>
      <c r="AD223" s="1" t="b">
        <f t="shared" si="69"/>
        <v>0</v>
      </c>
    </row>
    <row r="224" spans="1:32" x14ac:dyDescent="0.25">
      <c r="A224" s="2" t="s">
        <v>527</v>
      </c>
      <c r="B224" s="3" t="s">
        <v>468</v>
      </c>
      <c r="C224" s="2" t="s">
        <v>481</v>
      </c>
      <c r="D224" s="2" t="s">
        <v>523</v>
      </c>
      <c r="E224" s="96" t="s">
        <v>538</v>
      </c>
      <c r="F224" s="96" t="s">
        <v>539</v>
      </c>
      <c r="G224" s="99">
        <v>9.9999999999999995E-8</v>
      </c>
      <c r="H224" s="83">
        <f>0.000001 / 10000</f>
        <v>9.9999999999999991E-11</v>
      </c>
      <c r="I224" s="83">
        <f>0.000001 / 10000</f>
        <v>9.9999999999999991E-11</v>
      </c>
      <c r="J224" s="83">
        <f>0.000001 / 10000</f>
        <v>9.9999999999999991E-11</v>
      </c>
      <c r="K224" s="83">
        <f>0.000001 / 10000 / 4</f>
        <v>2.4999999999999998E-11</v>
      </c>
      <c r="L224" s="83"/>
      <c r="M224" s="83">
        <f t="shared" ref="M224:Y224" si="76">0.000001 / 10000 / 4 / 10</f>
        <v>2.4999999999999998E-12</v>
      </c>
      <c r="N224" s="83">
        <f t="shared" si="76"/>
        <v>2.4999999999999998E-12</v>
      </c>
      <c r="O224" s="83">
        <f t="shared" si="76"/>
        <v>2.4999999999999998E-12</v>
      </c>
      <c r="P224" s="83">
        <f t="shared" si="76"/>
        <v>2.4999999999999998E-12</v>
      </c>
      <c r="Q224" s="83">
        <f t="shared" si="76"/>
        <v>2.4999999999999998E-12</v>
      </c>
      <c r="R224" s="83">
        <f t="shared" si="76"/>
        <v>2.4999999999999998E-12</v>
      </c>
      <c r="S224" s="83">
        <f t="shared" si="76"/>
        <v>2.4999999999999998E-12</v>
      </c>
      <c r="T224" s="83">
        <f t="shared" si="76"/>
        <v>2.4999999999999998E-12</v>
      </c>
      <c r="U224" s="83">
        <f t="shared" si="76"/>
        <v>2.4999999999999998E-12</v>
      </c>
      <c r="V224" s="83">
        <f t="shared" si="76"/>
        <v>2.4999999999999998E-12</v>
      </c>
      <c r="W224" s="83">
        <f t="shared" si="76"/>
        <v>2.4999999999999998E-12</v>
      </c>
      <c r="X224" s="83"/>
      <c r="Y224" s="83">
        <f t="shared" si="76"/>
        <v>2.4999999999999998E-12</v>
      </c>
      <c r="Z224" s="83">
        <f>0.000001 / 10000 / 4 / 10</f>
        <v>2.4999999999999998E-12</v>
      </c>
      <c r="AA224" s="83">
        <f>0.000001 / 10000 / 4 / 10</f>
        <v>2.4999999999999998E-12</v>
      </c>
      <c r="AB224" s="83">
        <f>0.000001 / 10000 / 4</f>
        <v>2.4999999999999998E-11</v>
      </c>
      <c r="AD224" s="1" t="b">
        <f t="shared" si="69"/>
        <v>0</v>
      </c>
    </row>
    <row r="225" spans="1:30" x14ac:dyDescent="0.25">
      <c r="A225" s="2" t="s">
        <v>528</v>
      </c>
      <c r="B225" s="3" t="s">
        <v>468</v>
      </c>
      <c r="C225" s="2" t="s">
        <v>481</v>
      </c>
      <c r="D225" s="2" t="s">
        <v>523</v>
      </c>
      <c r="E225" s="96" t="s">
        <v>540</v>
      </c>
      <c r="F225" s="96" t="s">
        <v>541</v>
      </c>
      <c r="G225" s="99">
        <f>2*0.00001</f>
        <v>2.0000000000000002E-5</v>
      </c>
      <c r="H225" s="83">
        <v>5.0000000000000002E-5</v>
      </c>
      <c r="I225" s="83">
        <v>1.0000000000000001E-5</v>
      </c>
      <c r="J225" s="83">
        <v>5.0000000000000002E-5</v>
      </c>
      <c r="K225" s="83">
        <v>1.0000000000000001E-5</v>
      </c>
      <c r="L225" s="83"/>
      <c r="M225" s="83">
        <f t="shared" ref="M225:Y225" si="77">0.00001</f>
        <v>1.0000000000000001E-5</v>
      </c>
      <c r="N225" s="83">
        <f t="shared" si="77"/>
        <v>1.0000000000000001E-5</v>
      </c>
      <c r="O225" s="83">
        <f t="shared" si="77"/>
        <v>1.0000000000000001E-5</v>
      </c>
      <c r="P225" s="83">
        <f t="shared" si="77"/>
        <v>1.0000000000000001E-5</v>
      </c>
      <c r="Q225" s="83">
        <f t="shared" si="77"/>
        <v>1.0000000000000001E-5</v>
      </c>
      <c r="R225" s="83">
        <f t="shared" si="77"/>
        <v>1.0000000000000001E-5</v>
      </c>
      <c r="S225" s="83">
        <f t="shared" si="77"/>
        <v>1.0000000000000001E-5</v>
      </c>
      <c r="T225" s="83">
        <f t="shared" si="77"/>
        <v>1.0000000000000001E-5</v>
      </c>
      <c r="U225" s="83">
        <f t="shared" si="77"/>
        <v>1.0000000000000001E-5</v>
      </c>
      <c r="V225" s="83">
        <f t="shared" si="77"/>
        <v>1.0000000000000001E-5</v>
      </c>
      <c r="W225" s="83">
        <f t="shared" si="77"/>
        <v>1.0000000000000001E-5</v>
      </c>
      <c r="X225" s="83"/>
      <c r="Y225" s="83">
        <f t="shared" si="77"/>
        <v>1.0000000000000001E-5</v>
      </c>
      <c r="Z225" s="83">
        <f>0.00001</f>
        <v>1.0000000000000001E-5</v>
      </c>
      <c r="AA225" s="83">
        <f>0.00001</f>
        <v>1.0000000000000001E-5</v>
      </c>
      <c r="AB225" s="83">
        <f>0.00001 * 10</f>
        <v>1E-4</v>
      </c>
      <c r="AC225" s="83">
        <v>1.0000000000000001E-5</v>
      </c>
      <c r="AD225" s="1" t="b">
        <f t="shared" si="69"/>
        <v>0</v>
      </c>
    </row>
    <row r="226" spans="1:30" x14ac:dyDescent="0.25">
      <c r="A226" s="2" t="s">
        <v>570</v>
      </c>
      <c r="B226" s="3" t="s">
        <v>468</v>
      </c>
      <c r="C226" s="2" t="s">
        <v>481</v>
      </c>
      <c r="D226" s="2" t="s">
        <v>523</v>
      </c>
      <c r="E226" s="96" t="s">
        <v>571</v>
      </c>
      <c r="F226" s="96" t="s">
        <v>541</v>
      </c>
      <c r="G226" s="99">
        <f>2*0.00001</f>
        <v>2.0000000000000002E-5</v>
      </c>
      <c r="H226" s="83">
        <v>1E-3</v>
      </c>
      <c r="I226" s="83">
        <v>1E-3</v>
      </c>
      <c r="J226" s="83">
        <v>1E-3</v>
      </c>
      <c r="K226" s="83">
        <v>1E-3</v>
      </c>
      <c r="L226" s="83"/>
      <c r="M226" s="83">
        <f t="shared" ref="M226:Y226" si="78" xml:space="preserve"> 0.001 * 10</f>
        <v>0.01</v>
      </c>
      <c r="N226" s="83">
        <f t="shared" si="78"/>
        <v>0.01</v>
      </c>
      <c r="O226" s="83">
        <f t="shared" si="78"/>
        <v>0.01</v>
      </c>
      <c r="P226" s="83">
        <f t="shared" si="78"/>
        <v>0.01</v>
      </c>
      <c r="Q226" s="83">
        <f t="shared" si="78"/>
        <v>0.01</v>
      </c>
      <c r="R226" s="83">
        <f t="shared" si="78"/>
        <v>0.01</v>
      </c>
      <c r="S226" s="83">
        <f t="shared" si="78"/>
        <v>0.01</v>
      </c>
      <c r="T226" s="83">
        <f t="shared" si="78"/>
        <v>0.01</v>
      </c>
      <c r="U226" s="83">
        <f t="shared" si="78"/>
        <v>0.01</v>
      </c>
      <c r="V226" s="83">
        <f t="shared" si="78"/>
        <v>0.01</v>
      </c>
      <c r="W226" s="83">
        <f t="shared" si="78"/>
        <v>0.01</v>
      </c>
      <c r="X226" s="83"/>
      <c r="Y226" s="83">
        <f t="shared" si="78"/>
        <v>0.01</v>
      </c>
      <c r="Z226" s="83">
        <f xml:space="preserve"> 0.001 * 10</f>
        <v>0.01</v>
      </c>
      <c r="AA226" s="83">
        <f xml:space="preserve"> 0.001 * 10</f>
        <v>0.01</v>
      </c>
      <c r="AB226" s="83">
        <v>1E-3</v>
      </c>
    </row>
    <row r="227" spans="1:30" x14ac:dyDescent="0.25">
      <c r="A227" s="2" t="s">
        <v>572</v>
      </c>
      <c r="B227" s="3" t="s">
        <v>468</v>
      </c>
      <c r="C227" s="2" t="s">
        <v>481</v>
      </c>
      <c r="D227" s="2" t="s">
        <v>523</v>
      </c>
      <c r="E227" s="96" t="s">
        <v>573</v>
      </c>
      <c r="F227" s="96" t="s">
        <v>541</v>
      </c>
      <c r="G227" s="99">
        <v>1.0000000000000001E-5</v>
      </c>
      <c r="H227" s="99">
        <v>1.0000000000000001E-5</v>
      </c>
      <c r="I227" s="99">
        <v>1.0000000000000001E-5</v>
      </c>
      <c r="J227" s="99">
        <v>1.0000000000000001E-5</v>
      </c>
      <c r="K227" s="99">
        <v>1.0000000000000001E-5</v>
      </c>
      <c r="L227" s="99"/>
      <c r="M227" s="83">
        <f>0.00001 / 10 / 2 / 4</f>
        <v>1.2500000000000002E-7</v>
      </c>
      <c r="N227" s="83">
        <f>0.00001 / 10 / 2 / 4</f>
        <v>1.2500000000000002E-7</v>
      </c>
      <c r="O227" s="83">
        <f>0.00001 / 10 / 2 / 4</f>
        <v>1.2500000000000002E-7</v>
      </c>
      <c r="P227" s="83">
        <f t="shared" ref="P227:Y227" si="79">0.00001 / 3</f>
        <v>3.3333333333333337E-6</v>
      </c>
      <c r="Q227" s="99">
        <f t="shared" si="79"/>
        <v>3.3333333333333337E-6</v>
      </c>
      <c r="R227" s="99">
        <f t="shared" si="79"/>
        <v>3.3333333333333337E-6</v>
      </c>
      <c r="S227" s="99">
        <f t="shared" si="79"/>
        <v>3.3333333333333337E-6</v>
      </c>
      <c r="T227" s="99">
        <f t="shared" si="79"/>
        <v>3.3333333333333337E-6</v>
      </c>
      <c r="U227" s="99">
        <f t="shared" si="79"/>
        <v>3.3333333333333337E-6</v>
      </c>
      <c r="V227" s="99">
        <f t="shared" si="79"/>
        <v>3.3333333333333337E-6</v>
      </c>
      <c r="W227" s="99">
        <f t="shared" si="79"/>
        <v>3.3333333333333337E-6</v>
      </c>
      <c r="X227" s="99"/>
      <c r="Y227" s="99">
        <f t="shared" si="79"/>
        <v>3.3333333333333337E-6</v>
      </c>
      <c r="Z227" s="99">
        <f>0.00001 / 3</f>
        <v>3.3333333333333337E-6</v>
      </c>
      <c r="AA227" s="99">
        <f>0.00001 / 3</f>
        <v>3.3333333333333337E-6</v>
      </c>
      <c r="AB227" s="99">
        <v>1.0000000000000001E-5</v>
      </c>
      <c r="AC227" s="99">
        <v>1.0000000000000001E-5</v>
      </c>
    </row>
    <row r="228" spans="1:30" x14ac:dyDescent="0.25">
      <c r="A228" s="2" t="s">
        <v>529</v>
      </c>
      <c r="B228" s="3" t="s">
        <v>468</v>
      </c>
      <c r="C228" s="2" t="s">
        <v>481</v>
      </c>
      <c r="D228" s="2" t="s">
        <v>523</v>
      </c>
      <c r="E228" s="96" t="s">
        <v>542</v>
      </c>
      <c r="F228" s="96" t="s">
        <v>497</v>
      </c>
      <c r="G228" s="99">
        <f>0.84*(0.36^2)</f>
        <v>0.10886399999999999</v>
      </c>
      <c r="H228" s="83">
        <f t="shared" ref="H228:AB228" si="80">0.84*(0.36^2)</f>
        <v>0.10886399999999999</v>
      </c>
      <c r="I228" s="83">
        <f t="shared" si="80"/>
        <v>0.10886399999999999</v>
      </c>
      <c r="J228" s="83">
        <f t="shared" si="80"/>
        <v>0.10886399999999999</v>
      </c>
      <c r="K228" s="83">
        <f t="shared" si="80"/>
        <v>0.10886399999999999</v>
      </c>
      <c r="L228" s="83"/>
      <c r="M228" s="83">
        <f t="shared" si="80"/>
        <v>0.10886399999999999</v>
      </c>
      <c r="N228" s="83">
        <f t="shared" si="80"/>
        <v>0.10886399999999999</v>
      </c>
      <c r="O228" s="83">
        <f t="shared" si="80"/>
        <v>0.10886399999999999</v>
      </c>
      <c r="P228" s="83">
        <f t="shared" si="80"/>
        <v>0.10886399999999999</v>
      </c>
      <c r="Q228" s="83">
        <f t="shared" si="80"/>
        <v>0.10886399999999999</v>
      </c>
      <c r="R228" s="83">
        <f t="shared" si="80"/>
        <v>0.10886399999999999</v>
      </c>
      <c r="S228" s="83">
        <f t="shared" si="80"/>
        <v>0.10886399999999999</v>
      </c>
      <c r="T228" s="83">
        <f t="shared" si="80"/>
        <v>0.10886399999999999</v>
      </c>
      <c r="U228" s="83">
        <f t="shared" si="80"/>
        <v>0.10886399999999999</v>
      </c>
      <c r="V228" s="83">
        <f t="shared" si="80"/>
        <v>0.10886399999999999</v>
      </c>
      <c r="W228" s="83">
        <f t="shared" si="80"/>
        <v>0.10886399999999999</v>
      </c>
      <c r="X228" s="83"/>
      <c r="Y228" s="83">
        <f t="shared" si="80"/>
        <v>0.10886399999999999</v>
      </c>
      <c r="Z228" s="83">
        <f t="shared" si="80"/>
        <v>0.10886399999999999</v>
      </c>
      <c r="AA228" s="83">
        <f t="shared" si="80"/>
        <v>0.10886399999999999</v>
      </c>
      <c r="AB228" s="83">
        <f t="shared" si="80"/>
        <v>0.10886399999999999</v>
      </c>
      <c r="AD228" s="1" t="b">
        <f t="shared" ref="AD228:AD233" si="81">M228=AB228</f>
        <v>1</v>
      </c>
    </row>
    <row r="229" spans="1:30" x14ac:dyDescent="0.25">
      <c r="A229" s="2" t="s">
        <v>530</v>
      </c>
      <c r="B229" s="3" t="s">
        <v>468</v>
      </c>
      <c r="C229" s="2" t="s">
        <v>599</v>
      </c>
      <c r="D229" s="2" t="s">
        <v>600</v>
      </c>
      <c r="E229" s="96" t="s">
        <v>543</v>
      </c>
      <c r="F229" s="96" t="s">
        <v>489</v>
      </c>
      <c r="G229" s="100">
        <v>0.2</v>
      </c>
      <c r="H229" s="83">
        <v>0.2</v>
      </c>
      <c r="I229" s="83">
        <v>0.2</v>
      </c>
      <c r="J229" s="83">
        <v>0.2</v>
      </c>
      <c r="K229" s="83">
        <v>0.2</v>
      </c>
      <c r="L229" s="83"/>
      <c r="M229" s="83">
        <v>0.2</v>
      </c>
      <c r="N229" s="83">
        <v>0.2</v>
      </c>
      <c r="O229" s="83">
        <v>0.2</v>
      </c>
      <c r="P229" s="83">
        <v>0.2</v>
      </c>
      <c r="Q229" s="83">
        <v>0.2</v>
      </c>
      <c r="R229" s="83">
        <v>0.2</v>
      </c>
      <c r="S229" s="83">
        <v>0.2</v>
      </c>
      <c r="T229" s="83">
        <v>0.2</v>
      </c>
      <c r="U229" s="83">
        <v>0.2</v>
      </c>
      <c r="V229" s="83">
        <v>0.2</v>
      </c>
      <c r="W229" s="83">
        <v>0.2</v>
      </c>
      <c r="X229" s="83"/>
      <c r="Y229" s="83">
        <v>0.2</v>
      </c>
      <c r="Z229" s="83">
        <v>0.2</v>
      </c>
      <c r="AA229" s="83">
        <v>0.2</v>
      </c>
      <c r="AB229" s="83">
        <v>0.2</v>
      </c>
      <c r="AD229" s="1" t="b">
        <f t="shared" si="81"/>
        <v>1</v>
      </c>
    </row>
    <row r="230" spans="1:30" x14ac:dyDescent="0.25">
      <c r="A230" s="2" t="s">
        <v>531</v>
      </c>
      <c r="B230" s="3" t="s">
        <v>468</v>
      </c>
      <c r="C230" s="2" t="s">
        <v>599</v>
      </c>
      <c r="D230" s="2" t="s">
        <v>600</v>
      </c>
      <c r="E230" s="96" t="s">
        <v>544</v>
      </c>
      <c r="F230" s="96" t="s">
        <v>501</v>
      </c>
      <c r="G230" s="100" t="s">
        <v>473</v>
      </c>
      <c r="H230" s="83" t="s">
        <v>473</v>
      </c>
      <c r="I230" s="83" t="s">
        <v>473</v>
      </c>
      <c r="J230" s="83" t="s">
        <v>473</v>
      </c>
      <c r="K230" s="83" t="s">
        <v>473</v>
      </c>
      <c r="L230" s="83"/>
      <c r="M230" s="83" t="s">
        <v>473</v>
      </c>
      <c r="N230" s="83" t="s">
        <v>473</v>
      </c>
      <c r="O230" s="83" t="s">
        <v>473</v>
      </c>
      <c r="P230" s="83" t="s">
        <v>473</v>
      </c>
      <c r="Q230" s="83" t="s">
        <v>473</v>
      </c>
      <c r="R230" s="83" t="s">
        <v>473</v>
      </c>
      <c r="S230" s="83" t="s">
        <v>473</v>
      </c>
      <c r="T230" s="83" t="s">
        <v>473</v>
      </c>
      <c r="U230" s="83" t="s">
        <v>473</v>
      </c>
      <c r="V230" s="83" t="s">
        <v>473</v>
      </c>
      <c r="W230" s="83" t="s">
        <v>473</v>
      </c>
      <c r="X230" s="83"/>
      <c r="Y230" s="83" t="s">
        <v>473</v>
      </c>
      <c r="Z230" s="83" t="s">
        <v>473</v>
      </c>
      <c r="AA230" s="83" t="s">
        <v>473</v>
      </c>
      <c r="AB230" s="83" t="s">
        <v>473</v>
      </c>
      <c r="AD230" s="1" t="b">
        <f t="shared" si="81"/>
        <v>1</v>
      </c>
    </row>
    <row r="231" spans="1:30" x14ac:dyDescent="0.25">
      <c r="A231" s="2" t="s">
        <v>532</v>
      </c>
      <c r="B231" s="3" t="s">
        <v>468</v>
      </c>
      <c r="C231" s="2" t="s">
        <v>599</v>
      </c>
      <c r="D231" s="2" t="s">
        <v>600</v>
      </c>
      <c r="E231" s="96" t="s">
        <v>545</v>
      </c>
      <c r="F231" s="96" t="s">
        <v>501</v>
      </c>
      <c r="G231" s="100">
        <f>2*0.1</f>
        <v>0.2</v>
      </c>
      <c r="H231" s="83">
        <f t="shared" ref="H231:AB231" si="82">2*0.1</f>
        <v>0.2</v>
      </c>
      <c r="I231" s="83">
        <f t="shared" si="82"/>
        <v>0.2</v>
      </c>
      <c r="J231" s="83">
        <f t="shared" si="82"/>
        <v>0.2</v>
      </c>
      <c r="K231" s="83">
        <f t="shared" si="82"/>
        <v>0.2</v>
      </c>
      <c r="L231" s="83"/>
      <c r="M231" s="83">
        <f t="shared" si="82"/>
        <v>0.2</v>
      </c>
      <c r="N231" s="83">
        <f t="shared" si="82"/>
        <v>0.2</v>
      </c>
      <c r="O231" s="83">
        <f t="shared" si="82"/>
        <v>0.2</v>
      </c>
      <c r="P231" s="83">
        <f t="shared" si="82"/>
        <v>0.2</v>
      </c>
      <c r="Q231" s="83">
        <f t="shared" si="82"/>
        <v>0.2</v>
      </c>
      <c r="R231" s="83">
        <f t="shared" si="82"/>
        <v>0.2</v>
      </c>
      <c r="S231" s="83">
        <f t="shared" si="82"/>
        <v>0.2</v>
      </c>
      <c r="T231" s="83">
        <f t="shared" si="82"/>
        <v>0.2</v>
      </c>
      <c r="U231" s="83">
        <f t="shared" si="82"/>
        <v>0.2</v>
      </c>
      <c r="V231" s="83">
        <f t="shared" si="82"/>
        <v>0.2</v>
      </c>
      <c r="W231" s="83">
        <f t="shared" si="82"/>
        <v>0.2</v>
      </c>
      <c r="X231" s="83"/>
      <c r="Y231" s="83">
        <f t="shared" si="82"/>
        <v>0.2</v>
      </c>
      <c r="Z231" s="83">
        <f t="shared" si="82"/>
        <v>0.2</v>
      </c>
      <c r="AA231" s="83">
        <f t="shared" si="82"/>
        <v>0.2</v>
      </c>
      <c r="AB231" s="83">
        <f t="shared" si="82"/>
        <v>0.2</v>
      </c>
      <c r="AD231" s="1" t="b">
        <f t="shared" si="81"/>
        <v>1</v>
      </c>
    </row>
    <row r="232" spans="1:30" x14ac:dyDescent="0.25">
      <c r="A232" s="2" t="s">
        <v>533</v>
      </c>
      <c r="B232" s="3" t="s">
        <v>468</v>
      </c>
      <c r="C232" s="2" t="s">
        <v>599</v>
      </c>
      <c r="D232" s="2" t="s">
        <v>600</v>
      </c>
      <c r="E232" s="96" t="s">
        <v>546</v>
      </c>
      <c r="F232" s="96" t="s">
        <v>501</v>
      </c>
      <c r="G232" s="100">
        <v>1E-3</v>
      </c>
      <c r="H232" s="83">
        <v>1E-3</v>
      </c>
      <c r="I232" s="83">
        <v>1E-3</v>
      </c>
      <c r="J232" s="83">
        <v>1E-3</v>
      </c>
      <c r="K232" s="83">
        <v>1E-3</v>
      </c>
      <c r="L232" s="83"/>
      <c r="M232" s="83">
        <v>1E-3</v>
      </c>
      <c r="N232" s="83">
        <v>1E-3</v>
      </c>
      <c r="O232" s="83">
        <v>1E-3</v>
      </c>
      <c r="P232" s="83">
        <v>1E-3</v>
      </c>
      <c r="Q232" s="83">
        <v>1E-3</v>
      </c>
      <c r="R232" s="83">
        <v>1E-3</v>
      </c>
      <c r="S232" s="83">
        <v>1E-3</v>
      </c>
      <c r="T232" s="83">
        <v>1E-3</v>
      </c>
      <c r="U232" s="83">
        <v>1E-3</v>
      </c>
      <c r="V232" s="83">
        <v>1E-3</v>
      </c>
      <c r="W232" s="83">
        <v>1E-3</v>
      </c>
      <c r="X232" s="83"/>
      <c r="Y232" s="83">
        <v>1E-3</v>
      </c>
      <c r="Z232" s="83">
        <v>1E-3</v>
      </c>
      <c r="AA232" s="83">
        <v>1E-3</v>
      </c>
      <c r="AB232" s="83">
        <v>1E-3</v>
      </c>
      <c r="AD232" s="1" t="b">
        <f t="shared" si="81"/>
        <v>1</v>
      </c>
    </row>
    <row r="233" spans="1:30" x14ac:dyDescent="0.25">
      <c r="A233" s="2" t="s">
        <v>534</v>
      </c>
      <c r="B233" s="3" t="s">
        <v>468</v>
      </c>
      <c r="C233" s="2" t="s">
        <v>481</v>
      </c>
      <c r="D233" s="2" t="s">
        <v>523</v>
      </c>
      <c r="E233" s="96" t="s">
        <v>547</v>
      </c>
      <c r="F233" s="96" t="s">
        <v>501</v>
      </c>
      <c r="G233" s="98">
        <v>1.0000000000000001E-5</v>
      </c>
      <c r="H233" s="83">
        <v>1.0000000000000001E-5</v>
      </c>
      <c r="I233" s="83">
        <v>1.0000000000000001E-5</v>
      </c>
      <c r="J233" s="83">
        <v>1.0000000000000001E-5</v>
      </c>
      <c r="K233" s="83">
        <f>0.00001 / 2</f>
        <v>5.0000000000000004E-6</v>
      </c>
      <c r="L233" s="83"/>
      <c r="M233" s="83">
        <f>0.00001 /2</f>
        <v>5.0000000000000004E-6</v>
      </c>
      <c r="N233" s="83">
        <f>0.00001 /2</f>
        <v>5.0000000000000004E-6</v>
      </c>
      <c r="O233" s="83">
        <f t="shared" ref="O233:W233" si="83">0.00001 /2</f>
        <v>5.0000000000000004E-6</v>
      </c>
      <c r="P233" s="83">
        <f t="shared" si="83"/>
        <v>5.0000000000000004E-6</v>
      </c>
      <c r="Q233" s="83">
        <f t="shared" si="83"/>
        <v>5.0000000000000004E-6</v>
      </c>
      <c r="R233" s="83">
        <f t="shared" si="83"/>
        <v>5.0000000000000004E-6</v>
      </c>
      <c r="S233" s="83">
        <f t="shared" si="83"/>
        <v>5.0000000000000004E-6</v>
      </c>
      <c r="T233" s="83">
        <f t="shared" si="83"/>
        <v>5.0000000000000004E-6</v>
      </c>
      <c r="U233" s="83">
        <f t="shared" si="83"/>
        <v>5.0000000000000004E-6</v>
      </c>
      <c r="V233" s="83">
        <f t="shared" si="83"/>
        <v>5.0000000000000004E-6</v>
      </c>
      <c r="W233" s="83">
        <f t="shared" si="83"/>
        <v>5.0000000000000004E-6</v>
      </c>
      <c r="X233" s="83"/>
      <c r="Y233" s="83">
        <f>0.00001 /10</f>
        <v>1.0000000000000002E-6</v>
      </c>
      <c r="Z233" s="83">
        <f>0.00001 /2</f>
        <v>5.0000000000000004E-6</v>
      </c>
      <c r="AA233" s="83">
        <f>0.00001 /2</f>
        <v>5.0000000000000004E-6</v>
      </c>
      <c r="AB233" s="83">
        <f>0.00001 / 2</f>
        <v>5.0000000000000004E-6</v>
      </c>
      <c r="AC233" s="1">
        <f>0.00001 / 2</f>
        <v>5.0000000000000004E-6</v>
      </c>
      <c r="AD233" s="1" t="b">
        <f t="shared" si="81"/>
        <v>1</v>
      </c>
    </row>
    <row r="234" spans="1:30" x14ac:dyDescent="0.25">
      <c r="A234" s="2" t="s">
        <v>574</v>
      </c>
      <c r="B234" s="3" t="s">
        <v>468</v>
      </c>
      <c r="C234" s="2" t="s">
        <v>481</v>
      </c>
      <c r="D234" s="2" t="s">
        <v>523</v>
      </c>
      <c r="E234" s="96" t="s">
        <v>575</v>
      </c>
      <c r="F234" s="96" t="s">
        <v>501</v>
      </c>
      <c r="G234" s="98">
        <v>1.0000000000000001E-5</v>
      </c>
      <c r="H234" s="83">
        <v>1.0000000000000001E-5</v>
      </c>
      <c r="I234" s="83">
        <v>1.0000000000000001E-5</v>
      </c>
      <c r="J234" s="83">
        <v>1.0000000000000001E-5</v>
      </c>
      <c r="K234" s="83">
        <f>0.00001 / 2</f>
        <v>5.0000000000000004E-6</v>
      </c>
      <c r="L234" s="83"/>
      <c r="M234" s="83">
        <f t="shared" ref="M234:Y234" si="84">0.000000005 / 5</f>
        <v>1.0000000000000001E-9</v>
      </c>
      <c r="N234" s="83">
        <f t="shared" si="84"/>
        <v>1.0000000000000001E-9</v>
      </c>
      <c r="O234" s="83">
        <f t="shared" si="84"/>
        <v>1.0000000000000001E-9</v>
      </c>
      <c r="P234" s="83">
        <f t="shared" si="84"/>
        <v>1.0000000000000001E-9</v>
      </c>
      <c r="Q234" s="83">
        <f t="shared" si="84"/>
        <v>1.0000000000000001E-9</v>
      </c>
      <c r="R234" s="83">
        <f t="shared" si="84"/>
        <v>1.0000000000000001E-9</v>
      </c>
      <c r="S234" s="83">
        <f t="shared" si="84"/>
        <v>1.0000000000000001E-9</v>
      </c>
      <c r="T234" s="83">
        <f t="shared" si="84"/>
        <v>1.0000000000000001E-9</v>
      </c>
      <c r="U234" s="83">
        <f t="shared" si="84"/>
        <v>1.0000000000000001E-9</v>
      </c>
      <c r="V234" s="83">
        <f t="shared" si="84"/>
        <v>1.0000000000000001E-9</v>
      </c>
      <c r="W234" s="83">
        <f t="shared" si="84"/>
        <v>1.0000000000000001E-9</v>
      </c>
      <c r="X234" s="83"/>
      <c r="Y234" s="83">
        <f t="shared" si="84"/>
        <v>1.0000000000000001E-9</v>
      </c>
      <c r="Z234" s="83">
        <f>0.000000005 / 5</f>
        <v>1.0000000000000001E-9</v>
      </c>
      <c r="AA234" s="83">
        <f>0.000000005 / 5</f>
        <v>1.0000000000000001E-9</v>
      </c>
      <c r="AB234" s="83">
        <f>0.00001 / 2</f>
        <v>5.0000000000000004E-6</v>
      </c>
    </row>
    <row r="235" spans="1:30" x14ac:dyDescent="0.25">
      <c r="A235" s="2" t="s">
        <v>557</v>
      </c>
      <c r="B235" s="3" t="s">
        <v>468</v>
      </c>
      <c r="C235" s="2" t="s">
        <v>599</v>
      </c>
      <c r="D235" s="2" t="s">
        <v>600</v>
      </c>
      <c r="E235" s="30" t="s">
        <v>549</v>
      </c>
      <c r="F235" s="30" t="s">
        <v>550</v>
      </c>
      <c r="G235" s="83">
        <f t="shared" ref="G235:J235" si="85">0.00002 / 14 / 5</f>
        <v>2.8571428571428575E-7</v>
      </c>
      <c r="H235" s="83">
        <f t="shared" si="85"/>
        <v>2.8571428571428575E-7</v>
      </c>
      <c r="I235" s="83">
        <v>0</v>
      </c>
      <c r="J235" s="83">
        <f t="shared" si="85"/>
        <v>2.8571428571428575E-7</v>
      </c>
      <c r="K235" s="83">
        <v>0</v>
      </c>
      <c r="L235" s="83"/>
      <c r="M235" s="83">
        <v>0</v>
      </c>
      <c r="N235" s="83">
        <v>0</v>
      </c>
      <c r="O235" s="83">
        <v>0</v>
      </c>
      <c r="P235" s="83">
        <v>0</v>
      </c>
      <c r="Q235" s="83">
        <v>0</v>
      </c>
      <c r="R235" s="83">
        <v>0</v>
      </c>
      <c r="S235" s="83">
        <v>0</v>
      </c>
      <c r="T235" s="83">
        <v>0</v>
      </c>
      <c r="U235" s="83">
        <v>0</v>
      </c>
      <c r="V235" s="83">
        <v>0</v>
      </c>
      <c r="W235" s="83">
        <v>0</v>
      </c>
      <c r="X235" s="83"/>
      <c r="Y235" s="83">
        <v>0</v>
      </c>
      <c r="Z235" s="83">
        <v>0</v>
      </c>
      <c r="AA235" s="83">
        <v>0</v>
      </c>
      <c r="AB235" s="83">
        <v>0</v>
      </c>
      <c r="AD235" s="1" t="b">
        <f>M235=AB235</f>
        <v>1</v>
      </c>
    </row>
    <row r="236" spans="1:30" x14ac:dyDescent="0.25">
      <c r="A236" s="2" t="s">
        <v>558</v>
      </c>
      <c r="B236" s="3" t="s">
        <v>468</v>
      </c>
      <c r="C236" s="2" t="s">
        <v>599</v>
      </c>
      <c r="D236" s="2" t="s">
        <v>600</v>
      </c>
      <c r="E236" s="30" t="s">
        <v>549</v>
      </c>
      <c r="F236" s="30" t="s">
        <v>550</v>
      </c>
      <c r="G236" s="83">
        <f t="shared" ref="G236:AB236" si="86">0.00002 / 14 / 5 /10</f>
        <v>2.8571428571428575E-8</v>
      </c>
      <c r="H236" s="83">
        <f t="shared" si="86"/>
        <v>2.8571428571428575E-8</v>
      </c>
      <c r="I236" s="83">
        <f t="shared" si="86"/>
        <v>2.8571428571428575E-8</v>
      </c>
      <c r="J236" s="83">
        <f t="shared" si="86"/>
        <v>2.8571428571428575E-8</v>
      </c>
      <c r="K236" s="83">
        <f t="shared" si="86"/>
        <v>2.8571428571428575E-8</v>
      </c>
      <c r="L236" s="83"/>
      <c r="M236" s="83">
        <v>0</v>
      </c>
      <c r="N236" s="83">
        <v>0</v>
      </c>
      <c r="O236" s="83">
        <v>0</v>
      </c>
      <c r="P236" s="83">
        <v>0</v>
      </c>
      <c r="Q236" s="83">
        <v>0</v>
      </c>
      <c r="R236" s="83">
        <v>0</v>
      </c>
      <c r="S236" s="83">
        <v>0</v>
      </c>
      <c r="T236" s="83">
        <v>0</v>
      </c>
      <c r="U236" s="83">
        <v>0</v>
      </c>
      <c r="V236" s="83">
        <v>0</v>
      </c>
      <c r="W236" s="83">
        <v>0</v>
      </c>
      <c r="X236" s="83"/>
      <c r="Y236" s="83">
        <v>0</v>
      </c>
      <c r="Z236" s="83">
        <v>0</v>
      </c>
      <c r="AA236" s="83">
        <v>0</v>
      </c>
      <c r="AB236" s="83">
        <f t="shared" si="86"/>
        <v>2.8571428571428575E-8</v>
      </c>
      <c r="AD236" s="1" t="b">
        <f>M236=AB236</f>
        <v>0</v>
      </c>
    </row>
  </sheetData>
  <conditionalFormatting sqref="G235:I23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36:AB236"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AB130"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2:AB212"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3:AB213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4:AB214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5:AB215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6:AB216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7:AB217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0:AB220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1:AB223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AB224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8:AB228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9:AB234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3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35:L23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7:P227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5:AB23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25:AC225 AB226 H225:AA226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F130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1:AF131 H131:AC131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2:AF132 H132:AB132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4:AF134 H134:AC134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5:AF135 H135:AB135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0:AF140 H140:AC140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6:AF146 H146:AB146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2:AF162 H162:AB162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8:AF168 H168:AB168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286</v>
      </c>
      <c r="B1" s="1" t="s">
        <v>287</v>
      </c>
      <c r="C1" s="1" t="s">
        <v>288</v>
      </c>
    </row>
    <row r="2" spans="1:3" x14ac:dyDescent="0.25">
      <c r="A2" t="s">
        <v>206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207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91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208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205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209</v>
      </c>
      <c r="B26" t="s">
        <v>24</v>
      </c>
      <c r="C26" t="str">
        <f t="shared" si="0"/>
        <v/>
      </c>
    </row>
    <row r="27" spans="1:3" x14ac:dyDescent="0.25">
      <c r="A27" t="s">
        <v>210</v>
      </c>
      <c r="B27" t="s">
        <v>25</v>
      </c>
      <c r="C27" t="str">
        <f t="shared" si="0"/>
        <v>root_growth_T_ref</v>
      </c>
    </row>
    <row r="28" spans="1:3" x14ac:dyDescent="0.25">
      <c r="A28" t="s">
        <v>211</v>
      </c>
      <c r="B28" t="s">
        <v>26</v>
      </c>
      <c r="C28" t="str">
        <f t="shared" si="0"/>
        <v>root_growth_A</v>
      </c>
    </row>
    <row r="29" spans="1:3" x14ac:dyDescent="0.25">
      <c r="A29" t="s">
        <v>212</v>
      </c>
      <c r="B29" t="s">
        <v>27</v>
      </c>
      <c r="C29" t="str">
        <f t="shared" si="0"/>
        <v>root_growth_B</v>
      </c>
    </row>
    <row r="30" spans="1:3" x14ac:dyDescent="0.25">
      <c r="A30" t="s">
        <v>213</v>
      </c>
      <c r="B30" t="s">
        <v>28</v>
      </c>
      <c r="C30" t="str">
        <f t="shared" si="0"/>
        <v>root_growth_C</v>
      </c>
    </row>
    <row r="31" spans="1:3" x14ac:dyDescent="0.25">
      <c r="A31" t="s">
        <v>214</v>
      </c>
      <c r="B31" t="s">
        <v>29</v>
      </c>
      <c r="C31" t="str">
        <f t="shared" si="0"/>
        <v/>
      </c>
    </row>
    <row r="32" spans="1:3" x14ac:dyDescent="0.25">
      <c r="A32" t="s">
        <v>215</v>
      </c>
      <c r="B32" t="s">
        <v>30</v>
      </c>
      <c r="C32" t="str">
        <f t="shared" si="0"/>
        <v/>
      </c>
    </row>
    <row r="33" spans="1:3" x14ac:dyDescent="0.25">
      <c r="A33" t="s">
        <v>216</v>
      </c>
      <c r="B33" t="s">
        <v>31</v>
      </c>
      <c r="C33" t="str">
        <f t="shared" si="0"/>
        <v/>
      </c>
    </row>
    <row r="34" spans="1:3" x14ac:dyDescent="0.25">
      <c r="A34" t="s">
        <v>217</v>
      </c>
      <c r="B34" t="s">
        <v>32</v>
      </c>
      <c r="C34" t="str">
        <f t="shared" si="0"/>
        <v/>
      </c>
    </row>
    <row r="35" spans="1:3" x14ac:dyDescent="0.25">
      <c r="A35" t="s">
        <v>218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219</v>
      </c>
      <c r="B38" t="s">
        <v>36</v>
      </c>
      <c r="C38" t="str">
        <f t="shared" si="0"/>
        <v/>
      </c>
    </row>
    <row r="39" spans="1:3" x14ac:dyDescent="0.25">
      <c r="A39" t="s">
        <v>220</v>
      </c>
      <c r="B39" t="s">
        <v>37</v>
      </c>
      <c r="C39" t="str">
        <f t="shared" si="0"/>
        <v/>
      </c>
    </row>
    <row r="40" spans="1:3" x14ac:dyDescent="0.25">
      <c r="A40" t="s">
        <v>221</v>
      </c>
      <c r="B40" t="s">
        <v>38</v>
      </c>
      <c r="C40" t="str">
        <f t="shared" si="0"/>
        <v/>
      </c>
    </row>
    <row r="41" spans="1:3" x14ac:dyDescent="0.25">
      <c r="A41" t="s">
        <v>222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223</v>
      </c>
      <c r="B43" t="s">
        <v>207</v>
      </c>
      <c r="C43" t="str">
        <f t="shared" si="0"/>
        <v>expected_C_sucrose_root</v>
      </c>
    </row>
    <row r="44" spans="1:3" x14ac:dyDescent="0.25">
      <c r="A44" t="s">
        <v>224</v>
      </c>
      <c r="B44" t="s">
        <v>41</v>
      </c>
      <c r="C44" t="str">
        <f t="shared" si="0"/>
        <v>expected_C_hexose_root</v>
      </c>
    </row>
    <row r="45" spans="1:3" x14ac:dyDescent="0.25">
      <c r="A45" t="s">
        <v>225</v>
      </c>
      <c r="B45" t="s">
        <v>91</v>
      </c>
      <c r="C45" t="str">
        <f t="shared" si="0"/>
        <v>expected_C_hexose_soil</v>
      </c>
    </row>
    <row r="46" spans="1:3" x14ac:dyDescent="0.25">
      <c r="A46" t="s">
        <v>226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227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228</v>
      </c>
      <c r="B50" t="s">
        <v>208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229</v>
      </c>
      <c r="B52" t="s">
        <v>47</v>
      </c>
      <c r="C52" t="str">
        <f t="shared" si="0"/>
        <v/>
      </c>
    </row>
    <row r="53" spans="1:3" x14ac:dyDescent="0.25">
      <c r="A53" t="s">
        <v>230</v>
      </c>
      <c r="B53" t="s">
        <v>48</v>
      </c>
      <c r="C53" t="str">
        <f t="shared" si="0"/>
        <v/>
      </c>
    </row>
    <row r="54" spans="1:3" x14ac:dyDescent="0.25">
      <c r="A54" t="s">
        <v>231</v>
      </c>
      <c r="B54" t="s">
        <v>49</v>
      </c>
      <c r="C54" t="str">
        <f t="shared" si="0"/>
        <v/>
      </c>
    </row>
    <row r="55" spans="1:3" x14ac:dyDescent="0.25">
      <c r="A55" t="s">
        <v>232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205</v>
      </c>
      <c r="C56" t="str">
        <f t="shared" si="0"/>
        <v/>
      </c>
    </row>
    <row r="57" spans="1:3" x14ac:dyDescent="0.25">
      <c r="A57" t="s">
        <v>233</v>
      </c>
      <c r="B57" t="s">
        <v>51</v>
      </c>
      <c r="C57" t="str">
        <f t="shared" si="0"/>
        <v/>
      </c>
    </row>
    <row r="58" spans="1:3" x14ac:dyDescent="0.25">
      <c r="A58" t="s">
        <v>234</v>
      </c>
      <c r="B58" t="s">
        <v>52</v>
      </c>
      <c r="C58" t="str">
        <f t="shared" si="0"/>
        <v/>
      </c>
    </row>
    <row r="59" spans="1:3" x14ac:dyDescent="0.25">
      <c r="A59" t="s">
        <v>235</v>
      </c>
      <c r="B59" t="s">
        <v>53</v>
      </c>
      <c r="C59" t="str">
        <f t="shared" si="0"/>
        <v/>
      </c>
    </row>
    <row r="60" spans="1:3" x14ac:dyDescent="0.25">
      <c r="A60" t="s">
        <v>236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214</v>
      </c>
      <c r="C62" t="str">
        <f t="shared" si="0"/>
        <v/>
      </c>
    </row>
    <row r="63" spans="1:3" x14ac:dyDescent="0.25">
      <c r="A63" t="s">
        <v>69</v>
      </c>
      <c r="B63" t="s">
        <v>215</v>
      </c>
      <c r="C63" t="str">
        <f t="shared" si="0"/>
        <v/>
      </c>
    </row>
    <row r="64" spans="1:3" x14ac:dyDescent="0.25">
      <c r="A64" t="s">
        <v>57</v>
      </c>
      <c r="B64" t="s">
        <v>216</v>
      </c>
      <c r="C64" t="str">
        <f t="shared" si="0"/>
        <v/>
      </c>
    </row>
    <row r="65" spans="1:3" x14ac:dyDescent="0.25">
      <c r="A65" t="s">
        <v>56</v>
      </c>
      <c r="B65" t="s">
        <v>217</v>
      </c>
      <c r="C65" t="str">
        <f t="shared" si="0"/>
        <v/>
      </c>
    </row>
    <row r="66" spans="1:3" x14ac:dyDescent="0.25">
      <c r="A66" t="s">
        <v>58</v>
      </c>
      <c r="B66" t="s">
        <v>218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237</v>
      </c>
      <c r="B68" t="s">
        <v>83</v>
      </c>
      <c r="C68" t="str">
        <f t="shared" si="1"/>
        <v/>
      </c>
    </row>
    <row r="69" spans="1:3" x14ac:dyDescent="0.25">
      <c r="A69" t="s">
        <v>238</v>
      </c>
      <c r="B69" t="s">
        <v>84</v>
      </c>
      <c r="C69" t="str">
        <f t="shared" si="1"/>
        <v/>
      </c>
    </row>
    <row r="70" spans="1:3" x14ac:dyDescent="0.25">
      <c r="A70" t="s">
        <v>239</v>
      </c>
      <c r="B70" t="s">
        <v>85</v>
      </c>
      <c r="C70" t="str">
        <f t="shared" si="1"/>
        <v/>
      </c>
    </row>
    <row r="71" spans="1:3" x14ac:dyDescent="0.25">
      <c r="A71" t="s">
        <v>240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209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241</v>
      </c>
      <c r="B74" t="s">
        <v>61</v>
      </c>
      <c r="C74" t="str">
        <f t="shared" si="1"/>
        <v/>
      </c>
    </row>
    <row r="75" spans="1:3" x14ac:dyDescent="0.25">
      <c r="A75" t="s">
        <v>242</v>
      </c>
      <c r="B75" t="s">
        <v>62</v>
      </c>
      <c r="C75" t="str">
        <f t="shared" si="1"/>
        <v/>
      </c>
    </row>
    <row r="76" spans="1:3" x14ac:dyDescent="0.25">
      <c r="A76" t="s">
        <v>243</v>
      </c>
      <c r="B76" t="s">
        <v>63</v>
      </c>
      <c r="C76" t="str">
        <f t="shared" si="1"/>
        <v/>
      </c>
    </row>
    <row r="77" spans="1:3" x14ac:dyDescent="0.25">
      <c r="A77" t="s">
        <v>244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245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229</v>
      </c>
      <c r="C80" t="str">
        <f t="shared" si="1"/>
        <v/>
      </c>
    </row>
    <row r="81" spans="1:3" x14ac:dyDescent="0.25">
      <c r="A81" t="s">
        <v>246</v>
      </c>
      <c r="B81" t="s">
        <v>230</v>
      </c>
      <c r="C81" t="str">
        <f t="shared" si="1"/>
        <v/>
      </c>
    </row>
    <row r="82" spans="1:3" x14ac:dyDescent="0.25">
      <c r="A82" t="s">
        <v>247</v>
      </c>
      <c r="B82" t="s">
        <v>231</v>
      </c>
      <c r="C82" t="str">
        <f t="shared" si="1"/>
        <v/>
      </c>
    </row>
    <row r="83" spans="1:3" x14ac:dyDescent="0.25">
      <c r="A83" t="s">
        <v>248</v>
      </c>
      <c r="B83" t="s">
        <v>232</v>
      </c>
      <c r="C83" t="str">
        <f t="shared" si="1"/>
        <v/>
      </c>
    </row>
    <row r="84" spans="1:3" x14ac:dyDescent="0.25">
      <c r="A84" t="s">
        <v>249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233</v>
      </c>
      <c r="C86" t="str">
        <f t="shared" si="1"/>
        <v/>
      </c>
    </row>
    <row r="87" spans="1:3" x14ac:dyDescent="0.25">
      <c r="A87" t="s">
        <v>250</v>
      </c>
      <c r="B87" t="s">
        <v>234</v>
      </c>
      <c r="C87" t="str">
        <f t="shared" si="1"/>
        <v/>
      </c>
    </row>
    <row r="88" spans="1:3" x14ac:dyDescent="0.25">
      <c r="A88" t="s">
        <v>251</v>
      </c>
      <c r="B88" t="s">
        <v>235</v>
      </c>
      <c r="C88" t="str">
        <f t="shared" si="1"/>
        <v/>
      </c>
    </row>
    <row r="89" spans="1:3" x14ac:dyDescent="0.25">
      <c r="A89" t="s">
        <v>252</v>
      </c>
      <c r="B89" t="s">
        <v>236</v>
      </c>
      <c r="C89" t="str">
        <f t="shared" si="1"/>
        <v/>
      </c>
    </row>
    <row r="90" spans="1:3" x14ac:dyDescent="0.25">
      <c r="A90" t="s">
        <v>253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254</v>
      </c>
      <c r="B92" t="s">
        <v>56</v>
      </c>
      <c r="C92" t="str">
        <f t="shared" si="1"/>
        <v/>
      </c>
    </row>
    <row r="93" spans="1:3" x14ac:dyDescent="0.25">
      <c r="A93" t="s">
        <v>255</v>
      </c>
      <c r="B93" t="s">
        <v>57</v>
      </c>
      <c r="C93" t="str">
        <f t="shared" si="1"/>
        <v/>
      </c>
    </row>
    <row r="94" spans="1:3" x14ac:dyDescent="0.25">
      <c r="A94" t="s">
        <v>256</v>
      </c>
      <c r="B94" t="s">
        <v>58</v>
      </c>
      <c r="C94" t="str">
        <f t="shared" si="1"/>
        <v/>
      </c>
    </row>
    <row r="95" spans="1:3" x14ac:dyDescent="0.25">
      <c r="A95" t="s">
        <v>257</v>
      </c>
      <c r="B95" t="s">
        <v>71</v>
      </c>
      <c r="C95" t="str">
        <f t="shared" si="1"/>
        <v/>
      </c>
    </row>
    <row r="96" spans="1:3" x14ac:dyDescent="0.25">
      <c r="A96" t="s">
        <v>258</v>
      </c>
      <c r="B96" t="s">
        <v>237</v>
      </c>
      <c r="C96" t="str">
        <f t="shared" si="1"/>
        <v/>
      </c>
    </row>
    <row r="97" spans="1:3" x14ac:dyDescent="0.25">
      <c r="A97" t="s">
        <v>259</v>
      </c>
      <c r="B97" t="s">
        <v>238</v>
      </c>
      <c r="C97" t="str">
        <f t="shared" si="1"/>
        <v/>
      </c>
    </row>
    <row r="98" spans="1:3" x14ac:dyDescent="0.25">
      <c r="A98" t="s">
        <v>260</v>
      </c>
      <c r="B98" t="s">
        <v>239</v>
      </c>
      <c r="C98" t="str">
        <f t="shared" si="1"/>
        <v/>
      </c>
    </row>
    <row r="99" spans="1:3" x14ac:dyDescent="0.25">
      <c r="A99" t="s">
        <v>261</v>
      </c>
      <c r="B99" t="s">
        <v>240</v>
      </c>
      <c r="C99" t="str">
        <f t="shared" si="1"/>
        <v/>
      </c>
    </row>
    <row r="100" spans="1:3" x14ac:dyDescent="0.25">
      <c r="A100" t="s">
        <v>262</v>
      </c>
      <c r="B100" t="s">
        <v>72</v>
      </c>
      <c r="C100" t="str">
        <f t="shared" si="1"/>
        <v/>
      </c>
    </row>
    <row r="101" spans="1:3" x14ac:dyDescent="0.25">
      <c r="A101" t="s">
        <v>263</v>
      </c>
      <c r="B101" t="s">
        <v>73</v>
      </c>
      <c r="C101" t="str">
        <f t="shared" si="1"/>
        <v/>
      </c>
    </row>
    <row r="102" spans="1:3" x14ac:dyDescent="0.25">
      <c r="A102" t="s">
        <v>264</v>
      </c>
      <c r="B102" t="s">
        <v>241</v>
      </c>
      <c r="C102" t="str">
        <f t="shared" si="1"/>
        <v/>
      </c>
    </row>
    <row r="103" spans="1:3" x14ac:dyDescent="0.25">
      <c r="A103" t="s">
        <v>265</v>
      </c>
      <c r="B103" t="s">
        <v>242</v>
      </c>
      <c r="C103" t="str">
        <f t="shared" si="1"/>
        <v/>
      </c>
    </row>
    <row r="104" spans="1:3" x14ac:dyDescent="0.25">
      <c r="A104" t="s">
        <v>266</v>
      </c>
      <c r="B104" t="s">
        <v>243</v>
      </c>
      <c r="C104" t="str">
        <f t="shared" si="1"/>
        <v/>
      </c>
    </row>
    <row r="105" spans="1:3" x14ac:dyDescent="0.25">
      <c r="A105" t="s">
        <v>267</v>
      </c>
      <c r="B105" t="s">
        <v>244</v>
      </c>
      <c r="C105" t="str">
        <f t="shared" si="1"/>
        <v/>
      </c>
    </row>
    <row r="106" spans="1:3" x14ac:dyDescent="0.25">
      <c r="A106" t="s">
        <v>268</v>
      </c>
      <c r="B106" t="s">
        <v>74</v>
      </c>
      <c r="C106" t="str">
        <f t="shared" si="1"/>
        <v/>
      </c>
    </row>
    <row r="107" spans="1:3" x14ac:dyDescent="0.25">
      <c r="A107" t="s">
        <v>269</v>
      </c>
      <c r="B107" t="s">
        <v>75</v>
      </c>
      <c r="C107" t="str">
        <f t="shared" si="1"/>
        <v/>
      </c>
    </row>
    <row r="108" spans="1:3" x14ac:dyDescent="0.25">
      <c r="A108" t="s">
        <v>270</v>
      </c>
      <c r="B108" t="s">
        <v>219</v>
      </c>
      <c r="C108" t="str">
        <f t="shared" si="1"/>
        <v/>
      </c>
    </row>
    <row r="109" spans="1:3" x14ac:dyDescent="0.25">
      <c r="A109" t="s">
        <v>271</v>
      </c>
      <c r="B109" t="s">
        <v>220</v>
      </c>
      <c r="C109" t="str">
        <f t="shared" si="1"/>
        <v/>
      </c>
    </row>
    <row r="110" spans="1:3" x14ac:dyDescent="0.25">
      <c r="A110" t="s">
        <v>272</v>
      </c>
      <c r="B110" t="s">
        <v>221</v>
      </c>
      <c r="C110" t="str">
        <f t="shared" si="1"/>
        <v/>
      </c>
    </row>
    <row r="111" spans="1:3" x14ac:dyDescent="0.25">
      <c r="A111" t="s">
        <v>273</v>
      </c>
      <c r="B111" t="s">
        <v>222</v>
      </c>
      <c r="C111" t="str">
        <f t="shared" si="1"/>
        <v/>
      </c>
    </row>
    <row r="112" spans="1:3" x14ac:dyDescent="0.25">
      <c r="A112" t="s">
        <v>274</v>
      </c>
      <c r="B112" t="s">
        <v>76</v>
      </c>
      <c r="C112" t="str">
        <f t="shared" si="1"/>
        <v/>
      </c>
    </row>
    <row r="113" spans="1:3" x14ac:dyDescent="0.25">
      <c r="A113" t="s">
        <v>275</v>
      </c>
      <c r="B113" t="s">
        <v>77</v>
      </c>
      <c r="C113" t="str">
        <f t="shared" si="1"/>
        <v/>
      </c>
    </row>
    <row r="114" spans="1:3" x14ac:dyDescent="0.25">
      <c r="A114" t="s">
        <v>276</v>
      </c>
      <c r="B114" t="s">
        <v>78</v>
      </c>
      <c r="C114" t="str">
        <f t="shared" si="1"/>
        <v/>
      </c>
    </row>
    <row r="115" spans="1:3" x14ac:dyDescent="0.25">
      <c r="A115" t="s">
        <v>277</v>
      </c>
      <c r="B115" t="s">
        <v>246</v>
      </c>
      <c r="C115" t="str">
        <f t="shared" si="1"/>
        <v/>
      </c>
    </row>
    <row r="116" spans="1:3" x14ac:dyDescent="0.25">
      <c r="A116" t="s">
        <v>278</v>
      </c>
      <c r="B116" t="s">
        <v>247</v>
      </c>
      <c r="C116" t="str">
        <f t="shared" si="1"/>
        <v/>
      </c>
    </row>
    <row r="117" spans="1:3" x14ac:dyDescent="0.25">
      <c r="A117" t="s">
        <v>279</v>
      </c>
      <c r="B117" t="s">
        <v>248</v>
      </c>
      <c r="C117" t="str">
        <f t="shared" si="1"/>
        <v/>
      </c>
    </row>
    <row r="118" spans="1:3" x14ac:dyDescent="0.25">
      <c r="A118" t="s">
        <v>280</v>
      </c>
      <c r="B118" t="s">
        <v>249</v>
      </c>
      <c r="C118" t="str">
        <f t="shared" si="1"/>
        <v/>
      </c>
    </row>
    <row r="119" spans="1:3" x14ac:dyDescent="0.25">
      <c r="A119" t="s">
        <v>281</v>
      </c>
      <c r="B119" t="s">
        <v>79</v>
      </c>
      <c r="C119" t="str">
        <f t="shared" si="1"/>
        <v/>
      </c>
    </row>
    <row r="120" spans="1:3" x14ac:dyDescent="0.25">
      <c r="A120" t="s">
        <v>282</v>
      </c>
      <c r="B120" t="s">
        <v>80</v>
      </c>
      <c r="C120" t="str">
        <f t="shared" si="1"/>
        <v/>
      </c>
    </row>
    <row r="121" spans="1:3" x14ac:dyDescent="0.25">
      <c r="A121" t="s">
        <v>283</v>
      </c>
      <c r="B121" t="s">
        <v>250</v>
      </c>
      <c r="C121" t="str">
        <f t="shared" si="1"/>
        <v/>
      </c>
    </row>
    <row r="122" spans="1:3" x14ac:dyDescent="0.25">
      <c r="A122" t="s">
        <v>284</v>
      </c>
      <c r="B122" t="s">
        <v>251</v>
      </c>
      <c r="C122" t="str">
        <f t="shared" si="1"/>
        <v/>
      </c>
    </row>
    <row r="123" spans="1:3" x14ac:dyDescent="0.25">
      <c r="A123" t="s">
        <v>59</v>
      </c>
      <c r="B123" t="s">
        <v>252</v>
      </c>
      <c r="C123" t="str">
        <f t="shared" si="1"/>
        <v/>
      </c>
    </row>
    <row r="124" spans="1:3" x14ac:dyDescent="0.25">
      <c r="A124" t="s">
        <v>62</v>
      </c>
      <c r="B124" t="s">
        <v>253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254</v>
      </c>
      <c r="C126" t="str">
        <f t="shared" si="1"/>
        <v/>
      </c>
    </row>
    <row r="127" spans="1:3" x14ac:dyDescent="0.25">
      <c r="A127" t="s">
        <v>82</v>
      </c>
      <c r="B127" t="s">
        <v>255</v>
      </c>
      <c r="C127" t="str">
        <f t="shared" si="1"/>
        <v/>
      </c>
    </row>
    <row r="128" spans="1:3" x14ac:dyDescent="0.25">
      <c r="A128" t="s">
        <v>83</v>
      </c>
      <c r="B128" t="s">
        <v>256</v>
      </c>
      <c r="C128" t="str">
        <f t="shared" si="1"/>
        <v/>
      </c>
    </row>
    <row r="129" spans="1:3" x14ac:dyDescent="0.25">
      <c r="A129" t="s">
        <v>85</v>
      </c>
      <c r="B129" t="s">
        <v>257</v>
      </c>
      <c r="C129" t="str">
        <f t="shared" si="1"/>
        <v/>
      </c>
    </row>
    <row r="130" spans="1:3" x14ac:dyDescent="0.25">
      <c r="A130" t="s">
        <v>84</v>
      </c>
      <c r="B130" t="s">
        <v>258</v>
      </c>
      <c r="C130" t="str">
        <f t="shared" si="1"/>
        <v/>
      </c>
    </row>
    <row r="131" spans="1:3" x14ac:dyDescent="0.25">
      <c r="A131" t="s">
        <v>2</v>
      </c>
      <c r="B131" t="s">
        <v>259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260</v>
      </c>
      <c r="C132" t="str">
        <f t="shared" si="2"/>
        <v/>
      </c>
    </row>
    <row r="133" spans="1:3" x14ac:dyDescent="0.25">
      <c r="A133" t="s">
        <v>5</v>
      </c>
      <c r="B133" t="s">
        <v>261</v>
      </c>
      <c r="C133" t="str">
        <f t="shared" si="2"/>
        <v/>
      </c>
    </row>
    <row r="134" spans="1:3" x14ac:dyDescent="0.25">
      <c r="A134" t="s">
        <v>20</v>
      </c>
      <c r="B134" t="s">
        <v>262</v>
      </c>
      <c r="C134" t="str">
        <f t="shared" si="2"/>
        <v/>
      </c>
    </row>
    <row r="135" spans="1:3" x14ac:dyDescent="0.25">
      <c r="A135" t="s">
        <v>0</v>
      </c>
      <c r="B135" t="s">
        <v>263</v>
      </c>
      <c r="C135" t="str">
        <f t="shared" si="2"/>
        <v/>
      </c>
    </row>
    <row r="136" spans="1:3" x14ac:dyDescent="0.25">
      <c r="A136" t="s">
        <v>1</v>
      </c>
      <c r="B136" t="s">
        <v>264</v>
      </c>
      <c r="C136" t="str">
        <f t="shared" si="2"/>
        <v/>
      </c>
    </row>
    <row r="137" spans="1:3" x14ac:dyDescent="0.25">
      <c r="A137" t="s">
        <v>6</v>
      </c>
      <c r="B137" t="s">
        <v>265</v>
      </c>
      <c r="C137" t="str">
        <f t="shared" si="2"/>
        <v/>
      </c>
    </row>
    <row r="138" spans="1:3" x14ac:dyDescent="0.25">
      <c r="A138" t="s">
        <v>7</v>
      </c>
      <c r="B138" t="s">
        <v>266</v>
      </c>
      <c r="C138" t="str">
        <f t="shared" si="2"/>
        <v/>
      </c>
    </row>
    <row r="139" spans="1:3" x14ac:dyDescent="0.25">
      <c r="A139" t="s">
        <v>8</v>
      </c>
      <c r="B139" t="s">
        <v>267</v>
      </c>
      <c r="C139" t="str">
        <f t="shared" si="2"/>
        <v/>
      </c>
    </row>
    <row r="140" spans="1:3" x14ac:dyDescent="0.25">
      <c r="A140" t="s">
        <v>9</v>
      </c>
      <c r="B140" t="s">
        <v>268</v>
      </c>
      <c r="C140" t="str">
        <f t="shared" si="2"/>
        <v/>
      </c>
    </row>
    <row r="141" spans="1:3" x14ac:dyDescent="0.25">
      <c r="A141" t="s">
        <v>10</v>
      </c>
      <c r="B141" t="s">
        <v>269</v>
      </c>
      <c r="C141" t="str">
        <f t="shared" si="2"/>
        <v/>
      </c>
    </row>
    <row r="142" spans="1:3" x14ac:dyDescent="0.25">
      <c r="A142" t="s">
        <v>11</v>
      </c>
      <c r="B142" t="s">
        <v>270</v>
      </c>
      <c r="C142" t="str">
        <f t="shared" si="2"/>
        <v/>
      </c>
    </row>
    <row r="143" spans="1:3" x14ac:dyDescent="0.25">
      <c r="A143" t="s">
        <v>12</v>
      </c>
      <c r="B143" t="s">
        <v>271</v>
      </c>
      <c r="C143" t="str">
        <f t="shared" si="2"/>
        <v/>
      </c>
    </row>
    <row r="144" spans="1:3" x14ac:dyDescent="0.25">
      <c r="A144" t="s">
        <v>13</v>
      </c>
      <c r="B144" t="s">
        <v>272</v>
      </c>
      <c r="C144" t="str">
        <f t="shared" si="2"/>
        <v/>
      </c>
    </row>
    <row r="145" spans="1:3" x14ac:dyDescent="0.25">
      <c r="A145" t="s">
        <v>14</v>
      </c>
      <c r="B145" t="s">
        <v>273</v>
      </c>
      <c r="C145" t="str">
        <f t="shared" si="2"/>
        <v/>
      </c>
    </row>
    <row r="146" spans="1:3" x14ac:dyDescent="0.25">
      <c r="A146" t="s">
        <v>15</v>
      </c>
      <c r="B146" t="s">
        <v>274</v>
      </c>
      <c r="C146" t="str">
        <f t="shared" si="2"/>
        <v/>
      </c>
    </row>
    <row r="147" spans="1:3" x14ac:dyDescent="0.25">
      <c r="A147" t="s">
        <v>16</v>
      </c>
      <c r="B147" t="s">
        <v>275</v>
      </c>
      <c r="C147" t="str">
        <f t="shared" si="2"/>
        <v/>
      </c>
    </row>
    <row r="148" spans="1:3" x14ac:dyDescent="0.25">
      <c r="A148" t="s">
        <v>17</v>
      </c>
      <c r="B148" t="s">
        <v>276</v>
      </c>
      <c r="C148" t="str">
        <f t="shared" si="2"/>
        <v/>
      </c>
    </row>
    <row r="149" spans="1:3" x14ac:dyDescent="0.25">
      <c r="A149" t="s">
        <v>18</v>
      </c>
      <c r="B149" t="s">
        <v>277</v>
      </c>
      <c r="C149" t="str">
        <f t="shared" si="2"/>
        <v/>
      </c>
    </row>
    <row r="150" spans="1:3" x14ac:dyDescent="0.25">
      <c r="A150" t="s">
        <v>19</v>
      </c>
      <c r="B150" t="s">
        <v>278</v>
      </c>
      <c r="C150" t="str">
        <f t="shared" si="2"/>
        <v/>
      </c>
    </row>
    <row r="151" spans="1:3" x14ac:dyDescent="0.25">
      <c r="A151" t="s">
        <v>21</v>
      </c>
      <c r="B151" t="s">
        <v>279</v>
      </c>
      <c r="C151" t="str">
        <f t="shared" si="2"/>
        <v/>
      </c>
    </row>
    <row r="152" spans="1:3" x14ac:dyDescent="0.25">
      <c r="A152" t="s">
        <v>22</v>
      </c>
      <c r="B152" t="s">
        <v>280</v>
      </c>
      <c r="C152" t="str">
        <f t="shared" si="2"/>
        <v/>
      </c>
    </row>
    <row r="153" spans="1:3" x14ac:dyDescent="0.25">
      <c r="A153" t="s">
        <v>23</v>
      </c>
      <c r="B153" t="s">
        <v>281</v>
      </c>
      <c r="C153" t="str">
        <f t="shared" si="2"/>
        <v/>
      </c>
    </row>
    <row r="154" spans="1:3" x14ac:dyDescent="0.25">
      <c r="A154" t="s">
        <v>24</v>
      </c>
      <c r="B154" t="s">
        <v>282</v>
      </c>
      <c r="C154" t="str">
        <f t="shared" si="2"/>
        <v/>
      </c>
    </row>
    <row r="155" spans="1:3" x14ac:dyDescent="0.25">
      <c r="A155" t="s">
        <v>25</v>
      </c>
      <c r="B155" t="s">
        <v>283</v>
      </c>
      <c r="C155" t="str">
        <f t="shared" si="2"/>
        <v/>
      </c>
    </row>
    <row r="156" spans="1:3" x14ac:dyDescent="0.25">
      <c r="A156" t="s">
        <v>26</v>
      </c>
      <c r="B156" t="s">
        <v>284</v>
      </c>
      <c r="C156" t="str">
        <f t="shared" si="2"/>
        <v/>
      </c>
    </row>
    <row r="157" spans="1:3" x14ac:dyDescent="0.25">
      <c r="A157" t="s">
        <v>27</v>
      </c>
      <c r="B157" t="s">
        <v>362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362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2025-07-05T19:06:56Z</dcterms:modified>
</cp:coreProperties>
</file>